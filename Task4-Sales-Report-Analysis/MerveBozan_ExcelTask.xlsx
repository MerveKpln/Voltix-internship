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mus\Downloads\"/>
    </mc:Choice>
  </mc:AlternateContent>
  <xr:revisionPtr revIDLastSave="0" documentId="8_{9693FF58-CB3A-4470-8C1B-E04B165F2B5E}" xr6:coauthVersionLast="47" xr6:coauthVersionMax="47" xr10:uidLastSave="{00000000-0000-0000-0000-000000000000}"/>
  <bookViews>
    <workbookView xWindow="0" yWindow="0" windowWidth="17256" windowHeight="3600" tabRatio="835" firstSheet="3" activeTab="6" xr2:uid="{00000000-000D-0000-FFFF-FFFF00000000}"/>
  </bookViews>
  <sheets>
    <sheet name="Task 1" sheetId="1" r:id="rId1"/>
    <sheet name="Task 2" sheetId="2" r:id="rId2"/>
    <sheet name="Task 3" sheetId="3" r:id="rId3"/>
    <sheet name="Task 4" sheetId="4" r:id="rId4"/>
    <sheet name="Task 5" sheetId="6" r:id="rId5"/>
    <sheet name="Task 6" sheetId="7" r:id="rId6"/>
    <sheet name="Task 7" sheetId="8" r:id="rId7"/>
  </sheets>
  <calcPr calcId="191028"/>
  <pivotCaches>
    <pivotCache cacheId="17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8" l="1"/>
  <c r="B6" i="8"/>
  <c r="D6" i="8" s="1"/>
  <c r="B7" i="8"/>
  <c r="D7" i="8" s="1"/>
  <c r="B8" i="8"/>
  <c r="D8" i="8" s="1"/>
  <c r="B9" i="8"/>
  <c r="D9" i="8" s="1"/>
  <c r="B10" i="8"/>
  <c r="D10" i="8" s="1"/>
  <c r="B11" i="8"/>
  <c r="D11" i="8" s="1"/>
  <c r="B12" i="8"/>
  <c r="D12" i="8" s="1"/>
  <c r="B13" i="8"/>
  <c r="D13" i="8" s="1"/>
  <c r="B14" i="8"/>
  <c r="D14" i="8" s="1"/>
  <c r="B15" i="8"/>
  <c r="D15" i="8" s="1"/>
  <c r="C16" i="8"/>
  <c r="B5" i="8"/>
  <c r="D5" i="8" s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5" i="7"/>
  <c r="J11" i="4"/>
  <c r="J6" i="4"/>
  <c r="J9" i="4"/>
  <c r="J8" i="4"/>
  <c r="J7" i="4"/>
  <c r="F6" i="4"/>
  <c r="J5" i="3"/>
  <c r="J4" i="3"/>
  <c r="F6" i="1"/>
  <c r="F35" i="6" l="1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<sst xmlns="http://schemas.openxmlformats.org/spreadsheetml/2006/main" count="413" uniqueCount="55">
  <si>
    <t>Please organize the data by using the best format for date , and currency , fonts, frams, ect…</t>
  </si>
  <si>
    <t>Sales Report</t>
  </si>
  <si>
    <t>Order Date</t>
  </si>
  <si>
    <t>Sales Agent Name</t>
  </si>
  <si>
    <t>Car Type</t>
  </si>
  <si>
    <t>Car price</t>
  </si>
  <si>
    <t>Count</t>
  </si>
  <si>
    <t>Total Sales</t>
  </si>
  <si>
    <t>Ahmed</t>
  </si>
  <si>
    <t>Toyota</t>
  </si>
  <si>
    <t>Hossam</t>
  </si>
  <si>
    <t>Jeep</t>
  </si>
  <si>
    <t>Abdullah</t>
  </si>
  <si>
    <t>Mona</t>
  </si>
  <si>
    <t>Volkswagen</t>
  </si>
  <si>
    <t>Farida</t>
  </si>
  <si>
    <t>BMW</t>
  </si>
  <si>
    <t>Kia</t>
  </si>
  <si>
    <t>Ali</t>
  </si>
  <si>
    <t>Please change the color of the highest and lowest order amount</t>
  </si>
  <si>
    <t>Please highlight the by green all the results that more than J3 Amount and by red any results below this number</t>
  </si>
  <si>
    <t>Please find the highest and the lowest results</t>
  </si>
  <si>
    <t>Target</t>
  </si>
  <si>
    <t>Sales Report per Thousand</t>
  </si>
  <si>
    <t>The lowest Sales Amount</t>
  </si>
  <si>
    <t>Sales Person</t>
  </si>
  <si>
    <t>Jan</t>
  </si>
  <si>
    <t>Feb</t>
  </si>
  <si>
    <t>Mar</t>
  </si>
  <si>
    <t>Apr</t>
  </si>
  <si>
    <t>May</t>
  </si>
  <si>
    <t>Jun</t>
  </si>
  <si>
    <t>The highest result</t>
  </si>
  <si>
    <t>Hand</t>
  </si>
  <si>
    <t>Tamer</t>
  </si>
  <si>
    <t>Othman</t>
  </si>
  <si>
    <t>Please fill the yellow cells by the related equation</t>
  </si>
  <si>
    <t>Item</t>
  </si>
  <si>
    <t>Amount</t>
  </si>
  <si>
    <t>Total Sales Amount</t>
  </si>
  <si>
    <t>Total Sold Cars</t>
  </si>
  <si>
    <t>Count of orders</t>
  </si>
  <si>
    <t>Average order Amount</t>
  </si>
  <si>
    <t>Average Order Amount(Integer / via QUOTIENT)</t>
  </si>
  <si>
    <t>Please prepare a report for each one of sales persons results</t>
  </si>
  <si>
    <t>Please find the best sales person according to his sales amount</t>
  </si>
  <si>
    <t>Sum of Total Sales</t>
  </si>
  <si>
    <t>Sum of Count</t>
  </si>
  <si>
    <t>Grand Total</t>
  </si>
  <si>
    <t>t</t>
  </si>
  <si>
    <t>Please list the car prices for each order and calculate the full order amount</t>
  </si>
  <si>
    <t>Price</t>
  </si>
  <si>
    <t>Mazda</t>
  </si>
  <si>
    <t>Please  prepare a new bill for your order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</si>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</sst>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??_);_(@_)"/>
    <numFmt numFmtId="165" formatCode="[$EGP]\ #,##0"/>
    <numFmt numFmtId="166" formatCode="[$-409]d\-mmm\-yy"/>
    <numFmt numFmtId="167" formatCode="_(* #,##0_);_(* \(#,##0\);_(* &quot;-&quot;??_);_(@_)"/>
    <numFmt numFmtId="168" formatCode="[$-409]dd\-mmm\-yy;@"/>
  </numFmts>
  <fonts count="12">
    <font>
      <sz val="11"/>
      <color theme="1"/>
      <name val="Calibri"/>
      <scheme val="minor"/>
    </font>
    <font>
      <sz val="11"/>
      <color rgb="FFC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0"/>
      <name val="Calibri"/>
    </font>
    <font>
      <sz val="11"/>
      <name val="Calibri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1"/>
      <color theme="0"/>
      <name val="Arial"/>
      <family val="2"/>
      <charset val="162"/>
    </font>
    <font>
      <b/>
      <sz val="14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rgb="FF1B264D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indexed="64"/>
      </right>
      <top style="thin">
        <color indexed="64"/>
      </top>
      <bottom/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indexed="64"/>
      </bottom>
      <diagonal/>
    </border>
    <border>
      <left/>
      <right/>
      <top style="medium">
        <color theme="2" tint="-0.249977111117893"/>
      </top>
      <bottom style="thin">
        <color indexed="64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indexed="64"/>
      </bottom>
      <diagonal/>
    </border>
    <border>
      <left style="thin">
        <color indexed="64"/>
      </left>
      <right style="medium">
        <color theme="2" tint="-0.249977111117893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left" vertical="center"/>
    </xf>
    <xf numFmtId="0" fontId="4" fillId="0" borderId="1" xfId="0" applyFont="1" applyBorder="1"/>
    <xf numFmtId="0" fontId="4" fillId="4" borderId="1" xfId="0" applyFont="1" applyFill="1" applyBorder="1"/>
    <xf numFmtId="0" fontId="6" fillId="3" borderId="1" xfId="0" applyFont="1" applyFill="1" applyBorder="1"/>
    <xf numFmtId="0" fontId="6" fillId="2" borderId="1" xfId="0" applyFont="1" applyFill="1" applyBorder="1"/>
    <xf numFmtId="165" fontId="4" fillId="4" borderId="1" xfId="0" applyNumberFormat="1" applyFont="1" applyFill="1" applyBorder="1"/>
    <xf numFmtId="167" fontId="4" fillId="4" borderId="1" xfId="0" applyNumberFormat="1" applyFont="1" applyFill="1" applyBorder="1"/>
    <xf numFmtId="0" fontId="2" fillId="0" borderId="1" xfId="0" applyFont="1" applyBorder="1"/>
    <xf numFmtId="165" fontId="4" fillId="4" borderId="1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67" fontId="4" fillId="0" borderId="7" xfId="0" applyNumberFormat="1" applyFont="1" applyBorder="1" applyAlignment="1">
      <alignment horizontal="left" vertical="center"/>
    </xf>
    <xf numFmtId="167" fontId="4" fillId="0" borderId="8" xfId="0" applyNumberFormat="1" applyFont="1" applyBorder="1" applyAlignment="1">
      <alignment horizontal="left" vertical="center"/>
    </xf>
    <xf numFmtId="167" fontId="2" fillId="0" borderId="11" xfId="0" applyNumberFormat="1" applyFont="1" applyBorder="1" applyAlignment="1">
      <alignment horizontal="left" vertical="center"/>
    </xf>
    <xf numFmtId="167" fontId="2" fillId="0" borderId="12" xfId="0" applyNumberFormat="1" applyFont="1" applyBorder="1" applyAlignment="1">
      <alignment horizontal="left" vertical="center"/>
    </xf>
    <xf numFmtId="0" fontId="8" fillId="0" borderId="0" xfId="0" applyFont="1"/>
    <xf numFmtId="0" fontId="10" fillId="5" borderId="13" xfId="0" applyFont="1" applyFill="1" applyBorder="1" applyAlignment="1">
      <alignment horizontal="center" vertical="center"/>
    </xf>
    <xf numFmtId="168" fontId="9" fillId="0" borderId="14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165" fontId="9" fillId="0" borderId="14" xfId="0" applyNumberFormat="1" applyFont="1" applyBorder="1" applyAlignment="1">
      <alignment horizontal="right"/>
    </xf>
    <xf numFmtId="1" fontId="8" fillId="0" borderId="14" xfId="0" applyNumberFormat="1" applyFont="1" applyBorder="1" applyAlignment="1">
      <alignment horizontal="right"/>
    </xf>
    <xf numFmtId="165" fontId="8" fillId="0" borderId="14" xfId="0" applyNumberFormat="1" applyFont="1" applyBorder="1" applyAlignment="1">
      <alignment horizontal="right"/>
    </xf>
    <xf numFmtId="1" fontId="9" fillId="0" borderId="14" xfId="0" applyNumberFormat="1" applyFont="1" applyBorder="1" applyAlignment="1">
      <alignment horizontal="right"/>
    </xf>
    <xf numFmtId="0" fontId="10" fillId="5" borderId="15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166" fontId="2" fillId="0" borderId="9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0" fillId="0" borderId="0" xfId="0" applyAlignment="1">
      <alignment wrapText="1"/>
    </xf>
    <xf numFmtId="0" fontId="0" fillId="0" borderId="0" xfId="0" pivotButton="1"/>
    <xf numFmtId="165" fontId="0" fillId="0" borderId="0" xfId="0" applyNumberFormat="1"/>
    <xf numFmtId="167" fontId="0" fillId="0" borderId="0" xfId="0" applyNumberFormat="1"/>
    <xf numFmtId="0" fontId="0" fillId="6" borderId="0" xfId="0" applyFill="1"/>
    <xf numFmtId="165" fontId="0" fillId="6" borderId="0" xfId="0" applyNumberFormat="1" applyFill="1"/>
    <xf numFmtId="167" fontId="0" fillId="6" borderId="0" xfId="0" applyNumberFormat="1" applyFill="1"/>
    <xf numFmtId="165" fontId="4" fillId="0" borderId="1" xfId="0" applyNumberFormat="1" applyFont="1" applyBorder="1" applyAlignment="1">
      <alignment horizontal="right" vertical="center"/>
    </xf>
    <xf numFmtId="0" fontId="7" fillId="0" borderId="2" xfId="0" applyFont="1" applyBorder="1" applyAlignment="1"/>
    <xf numFmtId="0" fontId="7" fillId="0" borderId="3" xfId="0" applyFont="1" applyBorder="1" applyAlignment="1"/>
    <xf numFmtId="0" fontId="7" fillId="0" borderId="10" xfId="0" applyFont="1" applyBorder="1" applyAlignme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1B264D"/>
      </font>
      <fill>
        <patternFill patternType="solid">
          <bgColor theme="8" tint="0.59999389629810485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F7027D"/>
      <color rgb="FFF52C33"/>
      <color rgb="FFF54949"/>
      <color rgb="FFFA2A31"/>
      <color rgb="FF1B264D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0.562102314812" createdVersion="8" refreshedVersion="8" minRefreshableVersion="3" recordCount="30" xr:uid="{766DEF10-4B1B-438C-8712-EB7778818991}">
  <cacheSource type="worksheet">
    <worksheetSource ref="A5:F35" sheet="Task 5"/>
  </cacheSource>
  <cacheFields count="6">
    <cacheField name="Order Date" numFmtId="166">
      <sharedItems containsSemiMixedTypes="0" containsNonDate="0" containsDate="1" containsString="0" minDate="2019-05-01T00:00:00" maxDate="2019-05-31T00:00:00"/>
    </cacheField>
    <cacheField name="Sales Agent Name" numFmtId="0">
      <sharedItems count="6">
        <s v="Ahmed"/>
        <s v="Hossam"/>
        <s v="Abdullah"/>
        <s v="Mona"/>
        <s v="Farida"/>
        <s v="Ali"/>
      </sharedItems>
    </cacheField>
    <cacheField name="Car Type" numFmtId="0">
      <sharedItems/>
    </cacheField>
    <cacheField name="Car price" numFmtId="165">
      <sharedItems containsSemiMixedTypes="0" containsString="0" containsNumber="1" containsInteger="1" minValue="375000" maxValue="790000"/>
    </cacheField>
    <cacheField name="Count" numFmtId="167">
      <sharedItems containsSemiMixedTypes="0" containsString="0" containsNumber="1" containsInteger="1" minValue="1" maxValue="3"/>
    </cacheField>
    <cacheField name="Total Sales" numFmtId="165">
      <sharedItems containsSemiMixedTypes="0" containsString="0" containsNumber="1" containsInteger="1" minValue="375000" maxValue="23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19-05-01T00:00:00"/>
    <x v="0"/>
    <s v="Toyota"/>
    <n v="590000"/>
    <n v="1"/>
    <n v="590000"/>
  </r>
  <r>
    <d v="2019-05-02T00:00:00"/>
    <x v="1"/>
    <s v="Jeep"/>
    <n v="750000"/>
    <n v="2"/>
    <n v="1500000"/>
  </r>
  <r>
    <d v="2019-05-03T00:00:00"/>
    <x v="2"/>
    <s v="Toyota"/>
    <n v="590000"/>
    <n v="1"/>
    <n v="590000"/>
  </r>
  <r>
    <d v="2019-05-04T00:00:00"/>
    <x v="3"/>
    <s v="Volkswagen"/>
    <n v="460000"/>
    <n v="1"/>
    <n v="460000"/>
  </r>
  <r>
    <d v="2019-05-05T00:00:00"/>
    <x v="4"/>
    <s v="BMW"/>
    <n v="790000"/>
    <n v="3"/>
    <n v="2370000"/>
  </r>
  <r>
    <d v="2019-05-06T00:00:00"/>
    <x v="0"/>
    <s v="Kia"/>
    <n v="375000"/>
    <n v="2"/>
    <n v="750000"/>
  </r>
  <r>
    <d v="2019-05-07T00:00:00"/>
    <x v="1"/>
    <s v="Toyota"/>
    <n v="590000"/>
    <n v="3"/>
    <n v="1770000"/>
  </r>
  <r>
    <d v="2019-05-08T00:00:00"/>
    <x v="0"/>
    <s v="Jeep"/>
    <n v="750000"/>
    <n v="2"/>
    <n v="1500000"/>
  </r>
  <r>
    <d v="2019-05-09T00:00:00"/>
    <x v="3"/>
    <s v="Toyota"/>
    <n v="590000"/>
    <n v="3"/>
    <n v="1770000"/>
  </r>
  <r>
    <d v="2019-05-10T00:00:00"/>
    <x v="2"/>
    <s v="Jeep"/>
    <n v="750000"/>
    <n v="2"/>
    <n v="1500000"/>
  </r>
  <r>
    <d v="2019-05-11T00:00:00"/>
    <x v="1"/>
    <s v="Volkswagen"/>
    <n v="460000"/>
    <n v="1"/>
    <n v="460000"/>
  </r>
  <r>
    <d v="2019-05-12T00:00:00"/>
    <x v="3"/>
    <s v="Volkswagen"/>
    <n v="460000"/>
    <n v="1"/>
    <n v="460000"/>
  </r>
  <r>
    <d v="2019-05-13T00:00:00"/>
    <x v="4"/>
    <s v="Jeep"/>
    <n v="750000"/>
    <n v="1"/>
    <n v="750000"/>
  </r>
  <r>
    <d v="2019-05-14T00:00:00"/>
    <x v="4"/>
    <s v="Toyota"/>
    <n v="590000"/>
    <n v="2"/>
    <n v="1180000"/>
  </r>
  <r>
    <d v="2019-05-15T00:00:00"/>
    <x v="0"/>
    <s v="Kia"/>
    <n v="375000"/>
    <n v="2"/>
    <n v="750000"/>
  </r>
  <r>
    <d v="2019-05-16T00:00:00"/>
    <x v="1"/>
    <s v="BMW"/>
    <n v="790000"/>
    <n v="1"/>
    <n v="790000"/>
  </r>
  <r>
    <d v="2019-05-17T00:00:00"/>
    <x v="2"/>
    <s v="BMW"/>
    <n v="790000"/>
    <n v="1"/>
    <n v="790000"/>
  </r>
  <r>
    <d v="2019-05-18T00:00:00"/>
    <x v="5"/>
    <s v="Toyota"/>
    <n v="590000"/>
    <n v="2"/>
    <n v="1180000"/>
  </r>
  <r>
    <d v="2019-05-19T00:00:00"/>
    <x v="1"/>
    <s v="Kia"/>
    <n v="375000"/>
    <n v="2"/>
    <n v="750000"/>
  </r>
  <r>
    <d v="2019-05-20T00:00:00"/>
    <x v="5"/>
    <s v="Toyota"/>
    <n v="590000"/>
    <n v="1"/>
    <n v="590000"/>
  </r>
  <r>
    <d v="2019-05-21T00:00:00"/>
    <x v="4"/>
    <s v="Jeep"/>
    <n v="750000"/>
    <n v="1"/>
    <n v="750000"/>
  </r>
  <r>
    <d v="2019-05-22T00:00:00"/>
    <x v="2"/>
    <s v="Volkswagen"/>
    <n v="460000"/>
    <n v="1"/>
    <n v="460000"/>
  </r>
  <r>
    <d v="2019-05-23T00:00:00"/>
    <x v="2"/>
    <s v="Volkswagen"/>
    <n v="460000"/>
    <n v="3"/>
    <n v="1380000"/>
  </r>
  <r>
    <d v="2019-05-24T00:00:00"/>
    <x v="4"/>
    <s v="Kia"/>
    <n v="375000"/>
    <n v="1"/>
    <n v="375000"/>
  </r>
  <r>
    <d v="2019-05-25T00:00:00"/>
    <x v="0"/>
    <s v="BMW"/>
    <n v="790000"/>
    <n v="2"/>
    <n v="1580000"/>
  </r>
  <r>
    <d v="2019-05-26T00:00:00"/>
    <x v="3"/>
    <s v="Toyota"/>
    <n v="590000"/>
    <n v="1"/>
    <n v="590000"/>
  </r>
  <r>
    <d v="2019-05-27T00:00:00"/>
    <x v="1"/>
    <s v="Kia"/>
    <n v="375000"/>
    <n v="2"/>
    <n v="750000"/>
  </r>
  <r>
    <d v="2019-05-28T00:00:00"/>
    <x v="0"/>
    <s v="Toyota"/>
    <n v="590000"/>
    <n v="3"/>
    <n v="1770000"/>
  </r>
  <r>
    <d v="2019-05-29T00:00:00"/>
    <x v="1"/>
    <s v="Jeep"/>
    <n v="750000"/>
    <n v="1"/>
    <n v="750000"/>
  </r>
  <r>
    <d v="2019-05-30T00:00:00"/>
    <x v="5"/>
    <s v="Volkswagen"/>
    <n v="460000"/>
    <n v="1"/>
    <n v="4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191D9-FAF1-4CE2-A902-480BC40F2532}" name="PivotTable1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5:J12" firstHeaderRow="0" firstDataRow="1" firstDataCol="1"/>
  <pivotFields count="6">
    <pivotField compact="0" numFmtId="166" outline="0" showAll="0"/>
    <pivotField axis="axisRow" compact="0" outline="0" showAll="0" sortType="descending">
      <items count="7">
        <item x="2"/>
        <item x="0"/>
        <item x="5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5" outline="0" showAll="0"/>
    <pivotField dataField="1" compact="0" numFmtId="167" outline="0" showAll="0"/>
    <pivotField dataField="1" compact="0" numFmtId="165" outline="0" showAll="0"/>
  </pivotFields>
  <rowFields count="1">
    <field x="1"/>
  </rowFields>
  <rowItems count="7">
    <i>
      <x v="1"/>
    </i>
    <i>
      <x v="4"/>
    </i>
    <i>
      <x v="3"/>
    </i>
    <i>
      <x/>
    </i>
    <i>
      <x v="5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5" baseField="0" baseItem="0" numFmtId="165"/>
    <dataField name="Sum of Count" fld="4" baseField="0" baseItem="0" numFmtId="167"/>
  </dataFields>
  <formats count="2">
    <format dxfId="5">
      <pivotArea outline="0" fieldPosition="0">
        <references count="1">
          <reference field="1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6699"/>
  </sheetPr>
  <dimension ref="A1:Y1000"/>
  <sheetViews>
    <sheetView showGridLines="0" zoomScale="70" zoomScaleNormal="70" workbookViewId="0">
      <selection activeCell="F12" sqref="F12"/>
    </sheetView>
  </sheetViews>
  <sheetFormatPr defaultColWidth="14.42578125" defaultRowHeight="15" customHeight="1"/>
  <cols>
    <col min="1" max="1" width="28" customWidth="1"/>
    <col min="2" max="2" width="25.28515625" customWidth="1"/>
    <col min="3" max="3" width="16.42578125" customWidth="1"/>
    <col min="4" max="4" width="15.5703125" bestFit="1" customWidth="1"/>
    <col min="5" max="5" width="10.7109375" customWidth="1"/>
    <col min="6" max="6" width="17.140625" bestFit="1" customWidth="1"/>
    <col min="7" max="11" width="8.7109375" customWidth="1"/>
    <col min="12" max="12" width="11.7109375" customWidth="1"/>
    <col min="13" max="13" width="7" customWidth="1"/>
    <col min="14" max="18" width="8.7109375" customWidth="1"/>
    <col min="19" max="19" width="13" customWidth="1"/>
    <col min="20" max="20" width="17.28515625" customWidth="1"/>
    <col min="21" max="21" width="12.28515625" customWidth="1"/>
    <col min="22" max="22" width="12" customWidth="1"/>
    <col min="23" max="23" width="6.28515625" customWidth="1"/>
    <col min="24" max="24" width="13.7109375" customWidth="1"/>
    <col min="25" max="25" width="14.140625" customWidth="1"/>
    <col min="26" max="26" width="8.7109375" customWidth="1"/>
  </cols>
  <sheetData>
    <row r="1" spans="1:25" ht="14.45">
      <c r="A1" s="1" t="s">
        <v>0</v>
      </c>
    </row>
    <row r="3" spans="1:25" ht="15" customHeight="1" thickBot="1"/>
    <row r="4" spans="1:25" ht="34.15" customHeight="1">
      <c r="A4" s="36" t="s">
        <v>1</v>
      </c>
      <c r="B4" s="37"/>
      <c r="C4" s="37"/>
      <c r="D4" s="37"/>
      <c r="E4" s="37"/>
      <c r="F4" s="38"/>
    </row>
    <row r="5" spans="1:25" ht="22.15" customHeight="1" thickBot="1">
      <c r="A5" s="33" t="s">
        <v>2</v>
      </c>
      <c r="B5" s="25" t="s">
        <v>3</v>
      </c>
      <c r="C5" s="25" t="s">
        <v>4</v>
      </c>
      <c r="D5" s="25" t="s">
        <v>5</v>
      </c>
      <c r="E5" s="25" t="s">
        <v>6</v>
      </c>
      <c r="F5" s="34" t="s">
        <v>7</v>
      </c>
    </row>
    <row r="6" spans="1:25" thickBot="1">
      <c r="A6" s="26">
        <v>43586</v>
      </c>
      <c r="B6" s="28" t="s">
        <v>8</v>
      </c>
      <c r="C6" s="28" t="s">
        <v>9</v>
      </c>
      <c r="D6" s="29">
        <v>590000</v>
      </c>
      <c r="E6" s="30">
        <v>1</v>
      </c>
      <c r="F6" s="31">
        <f t="shared" ref="F6:F35" si="0">D6*E6</f>
        <v>590000</v>
      </c>
      <c r="Y6" s="3"/>
    </row>
    <row r="7" spans="1:25" thickBot="1">
      <c r="A7" s="26">
        <v>43587</v>
      </c>
      <c r="B7" s="28" t="s">
        <v>10</v>
      </c>
      <c r="C7" s="27" t="s">
        <v>11</v>
      </c>
      <c r="D7" s="31">
        <v>750000</v>
      </c>
      <c r="E7" s="30">
        <v>2</v>
      </c>
      <c r="F7" s="31">
        <f t="shared" si="0"/>
        <v>1500000</v>
      </c>
      <c r="Y7" s="3"/>
    </row>
    <row r="8" spans="1:25" thickBot="1">
      <c r="A8" s="26">
        <v>43588</v>
      </c>
      <c r="B8" s="27" t="s">
        <v>12</v>
      </c>
      <c r="C8" s="28" t="s">
        <v>9</v>
      </c>
      <c r="D8" s="29">
        <v>590000</v>
      </c>
      <c r="E8" s="30">
        <v>1</v>
      </c>
      <c r="F8" s="29">
        <f t="shared" si="0"/>
        <v>590000</v>
      </c>
      <c r="Y8" s="3"/>
    </row>
    <row r="9" spans="1:25" thickBot="1">
      <c r="A9" s="26">
        <v>43589</v>
      </c>
      <c r="B9" s="27" t="s">
        <v>13</v>
      </c>
      <c r="C9" s="28" t="s">
        <v>14</v>
      </c>
      <c r="D9" s="29">
        <v>460000</v>
      </c>
      <c r="E9" s="30">
        <v>1</v>
      </c>
      <c r="F9" s="31">
        <f t="shared" si="0"/>
        <v>460000</v>
      </c>
      <c r="Y9" s="3"/>
    </row>
    <row r="10" spans="1:25" thickBot="1">
      <c r="A10" s="26">
        <v>43590</v>
      </c>
      <c r="B10" s="28" t="s">
        <v>15</v>
      </c>
      <c r="C10" s="27" t="s">
        <v>16</v>
      </c>
      <c r="D10" s="29">
        <v>790000</v>
      </c>
      <c r="E10" s="30">
        <v>3</v>
      </c>
      <c r="F10" s="29">
        <f t="shared" si="0"/>
        <v>2370000</v>
      </c>
      <c r="Y10" s="3"/>
    </row>
    <row r="11" spans="1:25" thickBot="1">
      <c r="A11" s="26">
        <v>43591</v>
      </c>
      <c r="B11" s="27" t="s">
        <v>8</v>
      </c>
      <c r="C11" s="28" t="s">
        <v>17</v>
      </c>
      <c r="D11" s="29">
        <v>375000</v>
      </c>
      <c r="E11" s="30">
        <v>2</v>
      </c>
      <c r="F11" s="29">
        <f t="shared" si="0"/>
        <v>750000</v>
      </c>
      <c r="Y11" s="3"/>
    </row>
    <row r="12" spans="1:25" thickBot="1">
      <c r="A12" s="26">
        <v>43592</v>
      </c>
      <c r="B12" s="27" t="s">
        <v>10</v>
      </c>
      <c r="C12" s="27" t="s">
        <v>9</v>
      </c>
      <c r="D12" s="29">
        <v>590000</v>
      </c>
      <c r="E12" s="30">
        <v>3</v>
      </c>
      <c r="F12" s="31">
        <f t="shared" si="0"/>
        <v>1770000</v>
      </c>
      <c r="Y12" s="3"/>
    </row>
    <row r="13" spans="1:25" thickBot="1">
      <c r="A13" s="26">
        <v>43593</v>
      </c>
      <c r="B13" s="27" t="s">
        <v>8</v>
      </c>
      <c r="C13" s="28" t="s">
        <v>11</v>
      </c>
      <c r="D13" s="29">
        <v>750000</v>
      </c>
      <c r="E13" s="30">
        <v>2</v>
      </c>
      <c r="F13" s="29">
        <f t="shared" si="0"/>
        <v>1500000</v>
      </c>
      <c r="Y13" s="3"/>
    </row>
    <row r="14" spans="1:25" thickBot="1">
      <c r="A14" s="26">
        <v>43594</v>
      </c>
      <c r="B14" s="27" t="s">
        <v>13</v>
      </c>
      <c r="C14" s="28" t="s">
        <v>9</v>
      </c>
      <c r="D14" s="29">
        <v>590000</v>
      </c>
      <c r="E14" s="32">
        <v>3</v>
      </c>
      <c r="F14" s="29">
        <f t="shared" si="0"/>
        <v>1770000</v>
      </c>
      <c r="Y14" s="3"/>
    </row>
    <row r="15" spans="1:25" thickBot="1">
      <c r="A15" s="26">
        <v>43595</v>
      </c>
      <c r="B15" s="27" t="s">
        <v>12</v>
      </c>
      <c r="C15" s="27" t="s">
        <v>11</v>
      </c>
      <c r="D15" s="29">
        <v>750000</v>
      </c>
      <c r="E15" s="32">
        <v>2</v>
      </c>
      <c r="F15" s="29">
        <f t="shared" si="0"/>
        <v>1500000</v>
      </c>
      <c r="Y15" s="3"/>
    </row>
    <row r="16" spans="1:25" thickBot="1">
      <c r="A16" s="26">
        <v>43596</v>
      </c>
      <c r="B16" s="27" t="s">
        <v>10</v>
      </c>
      <c r="C16" s="27" t="s">
        <v>14</v>
      </c>
      <c r="D16" s="29">
        <v>460000</v>
      </c>
      <c r="E16" s="32">
        <v>1</v>
      </c>
      <c r="F16" s="29">
        <f t="shared" si="0"/>
        <v>460000</v>
      </c>
      <c r="Y16" s="3"/>
    </row>
    <row r="17" spans="1:25" thickBot="1">
      <c r="A17" s="26">
        <v>43597</v>
      </c>
      <c r="B17" s="27" t="s">
        <v>13</v>
      </c>
      <c r="C17" s="28" t="s">
        <v>14</v>
      </c>
      <c r="D17" s="29">
        <v>460000</v>
      </c>
      <c r="E17" s="32">
        <v>1</v>
      </c>
      <c r="F17" s="29">
        <f t="shared" si="0"/>
        <v>460000</v>
      </c>
      <c r="Y17" s="3"/>
    </row>
    <row r="18" spans="1:25" thickBot="1">
      <c r="A18" s="26">
        <v>43598</v>
      </c>
      <c r="B18" s="27" t="s">
        <v>15</v>
      </c>
      <c r="C18" s="27" t="s">
        <v>11</v>
      </c>
      <c r="D18" s="29">
        <v>750000</v>
      </c>
      <c r="E18" s="30">
        <v>1</v>
      </c>
      <c r="F18" s="29">
        <f t="shared" si="0"/>
        <v>750000</v>
      </c>
      <c r="Y18" s="3"/>
    </row>
    <row r="19" spans="1:25" thickBot="1">
      <c r="A19" s="26">
        <v>43599</v>
      </c>
      <c r="B19" s="27" t="s">
        <v>15</v>
      </c>
      <c r="C19" s="27" t="s">
        <v>9</v>
      </c>
      <c r="D19" s="29">
        <v>590000</v>
      </c>
      <c r="E19" s="32">
        <v>2</v>
      </c>
      <c r="F19" s="29">
        <f t="shared" si="0"/>
        <v>1180000</v>
      </c>
      <c r="Y19" s="3"/>
    </row>
    <row r="20" spans="1:25" thickBot="1">
      <c r="A20" s="26">
        <v>43600</v>
      </c>
      <c r="B20" s="27" t="s">
        <v>8</v>
      </c>
      <c r="C20" s="28" t="s">
        <v>17</v>
      </c>
      <c r="D20" s="29">
        <v>375000</v>
      </c>
      <c r="E20" s="32">
        <v>2</v>
      </c>
      <c r="F20" s="31">
        <f t="shared" si="0"/>
        <v>750000</v>
      </c>
      <c r="Y20" s="3"/>
    </row>
    <row r="21" spans="1:25" ht="15.75" customHeight="1" thickBot="1">
      <c r="A21" s="26">
        <v>43601</v>
      </c>
      <c r="B21" s="28" t="s">
        <v>10</v>
      </c>
      <c r="C21" s="28" t="s">
        <v>16</v>
      </c>
      <c r="D21" s="31">
        <v>790000</v>
      </c>
      <c r="E21" s="30">
        <v>1</v>
      </c>
      <c r="F21" s="29">
        <f t="shared" si="0"/>
        <v>790000</v>
      </c>
      <c r="Y21" s="3"/>
    </row>
    <row r="22" spans="1:25" ht="15.75" customHeight="1" thickBot="1">
      <c r="A22" s="26">
        <v>43602</v>
      </c>
      <c r="B22" s="27" t="s">
        <v>12</v>
      </c>
      <c r="C22" s="27" t="s">
        <v>16</v>
      </c>
      <c r="D22" s="29">
        <v>790000</v>
      </c>
      <c r="E22" s="32">
        <v>1</v>
      </c>
      <c r="F22" s="29">
        <f t="shared" si="0"/>
        <v>790000</v>
      </c>
      <c r="Y22" s="3"/>
    </row>
    <row r="23" spans="1:25" ht="15.75" customHeight="1" thickBot="1">
      <c r="A23" s="26">
        <v>43603</v>
      </c>
      <c r="B23" s="27" t="s">
        <v>18</v>
      </c>
      <c r="C23" s="27" t="s">
        <v>9</v>
      </c>
      <c r="D23" s="29">
        <v>590000</v>
      </c>
      <c r="E23" s="30">
        <v>2</v>
      </c>
      <c r="F23" s="29">
        <f t="shared" si="0"/>
        <v>1180000</v>
      </c>
      <c r="Y23" s="3"/>
    </row>
    <row r="24" spans="1:25" ht="15.75" customHeight="1" thickBot="1">
      <c r="A24" s="26">
        <v>43604</v>
      </c>
      <c r="B24" s="27" t="s">
        <v>10</v>
      </c>
      <c r="C24" s="28" t="s">
        <v>17</v>
      </c>
      <c r="D24" s="29">
        <v>375000</v>
      </c>
      <c r="E24" s="30">
        <v>1</v>
      </c>
      <c r="F24" s="29">
        <f t="shared" si="0"/>
        <v>375000</v>
      </c>
      <c r="Y24" s="3"/>
    </row>
    <row r="25" spans="1:25" ht="15.75" customHeight="1" thickBot="1">
      <c r="A25" s="26">
        <v>43605</v>
      </c>
      <c r="B25" s="27" t="s">
        <v>18</v>
      </c>
      <c r="C25" s="27" t="s">
        <v>9</v>
      </c>
      <c r="D25" s="29">
        <v>590000</v>
      </c>
      <c r="E25" s="30">
        <v>1</v>
      </c>
      <c r="F25" s="29">
        <f t="shared" si="0"/>
        <v>590000</v>
      </c>
      <c r="Y25" s="3"/>
    </row>
    <row r="26" spans="1:25" ht="15.75" customHeight="1" thickBot="1">
      <c r="A26" s="26">
        <v>43606</v>
      </c>
      <c r="B26" s="27" t="s">
        <v>15</v>
      </c>
      <c r="C26" s="27" t="s">
        <v>11</v>
      </c>
      <c r="D26" s="29">
        <v>750000</v>
      </c>
      <c r="E26" s="30">
        <v>1</v>
      </c>
      <c r="F26" s="31">
        <f t="shared" si="0"/>
        <v>750000</v>
      </c>
      <c r="Y26" s="3"/>
    </row>
    <row r="27" spans="1:25" ht="15.75" customHeight="1" thickBot="1">
      <c r="A27" s="26">
        <v>43607</v>
      </c>
      <c r="B27" s="27" t="s">
        <v>12</v>
      </c>
      <c r="C27" s="28" t="s">
        <v>14</v>
      </c>
      <c r="D27" s="29">
        <v>460000</v>
      </c>
      <c r="E27" s="30">
        <v>1</v>
      </c>
      <c r="F27" s="29">
        <f t="shared" si="0"/>
        <v>460000</v>
      </c>
      <c r="Y27" s="3"/>
    </row>
    <row r="28" spans="1:25" ht="15.75" customHeight="1" thickBot="1">
      <c r="A28" s="26">
        <v>43608</v>
      </c>
      <c r="B28" s="27" t="s">
        <v>12</v>
      </c>
      <c r="C28" s="27" t="s">
        <v>14</v>
      </c>
      <c r="D28" s="29">
        <v>460000</v>
      </c>
      <c r="E28" s="32">
        <v>3</v>
      </c>
      <c r="F28" s="29">
        <f t="shared" si="0"/>
        <v>1380000</v>
      </c>
      <c r="Y28" s="3"/>
    </row>
    <row r="29" spans="1:25" ht="15.75" customHeight="1" thickBot="1">
      <c r="A29" s="26">
        <v>43609</v>
      </c>
      <c r="B29" s="28" t="s">
        <v>15</v>
      </c>
      <c r="C29" s="27" t="s">
        <v>17</v>
      </c>
      <c r="D29" s="31">
        <v>375000</v>
      </c>
      <c r="E29" s="30">
        <v>1</v>
      </c>
      <c r="F29" s="29">
        <f t="shared" si="0"/>
        <v>375000</v>
      </c>
      <c r="Y29" s="3"/>
    </row>
    <row r="30" spans="1:25" ht="15.75" customHeight="1" thickBot="1">
      <c r="A30" s="26">
        <v>43610</v>
      </c>
      <c r="B30" s="27" t="s">
        <v>8</v>
      </c>
      <c r="C30" s="28" t="s">
        <v>16</v>
      </c>
      <c r="D30" s="29">
        <v>790000</v>
      </c>
      <c r="E30" s="30">
        <v>2</v>
      </c>
      <c r="F30" s="29">
        <f t="shared" si="0"/>
        <v>1580000</v>
      </c>
      <c r="Y30" s="3"/>
    </row>
    <row r="31" spans="1:25" ht="15.75" customHeight="1" thickBot="1">
      <c r="A31" s="26">
        <v>43611</v>
      </c>
      <c r="B31" s="27" t="s">
        <v>13</v>
      </c>
      <c r="C31" s="28" t="s">
        <v>9</v>
      </c>
      <c r="D31" s="29">
        <v>590000</v>
      </c>
      <c r="E31" s="30">
        <v>1</v>
      </c>
      <c r="F31" s="29">
        <f t="shared" si="0"/>
        <v>590000</v>
      </c>
      <c r="Y31" s="3"/>
    </row>
    <row r="32" spans="1:25" ht="15.75" customHeight="1" thickBot="1">
      <c r="A32" s="26">
        <v>43612</v>
      </c>
      <c r="B32" s="27" t="s">
        <v>10</v>
      </c>
      <c r="C32" s="27" t="s">
        <v>17</v>
      </c>
      <c r="D32" s="29">
        <v>375000</v>
      </c>
      <c r="E32" s="30">
        <v>1</v>
      </c>
      <c r="F32" s="29">
        <f t="shared" si="0"/>
        <v>375000</v>
      </c>
      <c r="Y32" s="3"/>
    </row>
    <row r="33" spans="1:25" ht="15.75" customHeight="1" thickBot="1">
      <c r="A33" s="26">
        <v>43613</v>
      </c>
      <c r="B33" s="28" t="s">
        <v>8</v>
      </c>
      <c r="C33" s="28" t="s">
        <v>9</v>
      </c>
      <c r="D33" s="31">
        <v>590000</v>
      </c>
      <c r="E33" s="30">
        <v>3</v>
      </c>
      <c r="F33" s="29">
        <f t="shared" si="0"/>
        <v>1770000</v>
      </c>
      <c r="Y33" s="3"/>
    </row>
    <row r="34" spans="1:25" ht="15.75" customHeight="1" thickBot="1">
      <c r="A34" s="26">
        <v>43614</v>
      </c>
      <c r="B34" s="28" t="s">
        <v>10</v>
      </c>
      <c r="C34" s="28" t="s">
        <v>11</v>
      </c>
      <c r="D34" s="29">
        <v>750000</v>
      </c>
      <c r="E34" s="30">
        <v>1</v>
      </c>
      <c r="F34" s="29">
        <f t="shared" si="0"/>
        <v>750000</v>
      </c>
      <c r="Y34" s="3"/>
    </row>
    <row r="35" spans="1:25" ht="15.75" customHeight="1" thickBot="1">
      <c r="A35" s="26">
        <v>43615</v>
      </c>
      <c r="B35" s="27" t="s">
        <v>18</v>
      </c>
      <c r="C35" s="28" t="s">
        <v>14</v>
      </c>
      <c r="D35" s="29">
        <v>460000</v>
      </c>
      <c r="E35" s="30">
        <v>1</v>
      </c>
      <c r="F35" s="31">
        <f t="shared" si="0"/>
        <v>460000</v>
      </c>
      <c r="Y35" s="3"/>
    </row>
    <row r="36" spans="1:25" ht="15.75" customHeight="1"/>
    <row r="37" spans="1:25" ht="15.75" customHeight="1"/>
    <row r="38" spans="1:25" ht="15.75" customHeight="1"/>
    <row r="39" spans="1:25" ht="15.75" customHeight="1"/>
    <row r="40" spans="1:25" ht="15.75" customHeight="1"/>
    <row r="41" spans="1:25" ht="15.75" customHeight="1"/>
    <row r="42" spans="1:25" ht="15.75" customHeight="1">
      <c r="B42" s="24"/>
    </row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F4"/>
  </mergeCells>
  <conditionalFormatting sqref="A6:F35">
    <cfRule type="expression" dxfId="4" priority="1">
      <formula>MOD(ROW(),2)=1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</sheetPr>
  <dimension ref="A1:H1000"/>
  <sheetViews>
    <sheetView workbookViewId="0">
      <selection activeCell="E6" sqref="E6:E35"/>
    </sheetView>
  </sheetViews>
  <sheetFormatPr defaultColWidth="14.42578125" defaultRowHeight="15" customHeight="1"/>
  <cols>
    <col min="1" max="1" width="11" customWidth="1"/>
    <col min="2" max="2" width="17.28515625" customWidth="1"/>
    <col min="3" max="3" width="12.28515625" customWidth="1"/>
    <col min="4" max="4" width="12" customWidth="1"/>
    <col min="5" max="5" width="6.28515625" customWidth="1"/>
    <col min="6" max="6" width="13.7109375" customWidth="1"/>
    <col min="7" max="7" width="8.7109375" customWidth="1"/>
    <col min="8" max="8" width="11.42578125" customWidth="1"/>
    <col min="9" max="26" width="8.7109375" customWidth="1"/>
  </cols>
  <sheetData>
    <row r="1" spans="1:8" ht="14.45">
      <c r="A1" s="1" t="s">
        <v>19</v>
      </c>
    </row>
    <row r="4" spans="1:8" ht="14.45">
      <c r="A4" s="35" t="s">
        <v>1</v>
      </c>
      <c r="B4" s="52"/>
      <c r="C4" s="52"/>
    </row>
    <row r="5" spans="1:8" ht="14.4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1:8">
      <c r="A6" s="42">
        <v>43586</v>
      </c>
      <c r="B6" s="6" t="s">
        <v>8</v>
      </c>
      <c r="C6" s="6" t="s">
        <v>9</v>
      </c>
      <c r="D6" s="7">
        <v>590000</v>
      </c>
      <c r="E6" s="41">
        <v>1</v>
      </c>
      <c r="F6" s="7">
        <f t="shared" ref="F6:F35" si="0">D6*E6</f>
        <v>590000</v>
      </c>
      <c r="H6" s="4"/>
    </row>
    <row r="7" spans="1:8">
      <c r="A7" s="42">
        <v>43587</v>
      </c>
      <c r="B7" s="6" t="s">
        <v>10</v>
      </c>
      <c r="C7" s="6" t="s">
        <v>11</v>
      </c>
      <c r="D7" s="7">
        <v>750000</v>
      </c>
      <c r="E7" s="41">
        <v>2</v>
      </c>
      <c r="F7" s="7">
        <f t="shared" si="0"/>
        <v>1500000</v>
      </c>
    </row>
    <row r="8" spans="1:8">
      <c r="A8" s="42">
        <v>43588</v>
      </c>
      <c r="B8" s="6" t="s">
        <v>12</v>
      </c>
      <c r="C8" s="6" t="s">
        <v>9</v>
      </c>
      <c r="D8" s="7">
        <v>590000</v>
      </c>
      <c r="E8" s="41">
        <v>1</v>
      </c>
      <c r="F8" s="7">
        <f t="shared" si="0"/>
        <v>590000</v>
      </c>
    </row>
    <row r="9" spans="1:8">
      <c r="A9" s="42">
        <v>43589</v>
      </c>
      <c r="B9" s="6" t="s">
        <v>13</v>
      </c>
      <c r="C9" s="6" t="s">
        <v>14</v>
      </c>
      <c r="D9" s="7">
        <v>460000</v>
      </c>
      <c r="E9" s="41">
        <v>1</v>
      </c>
      <c r="F9" s="7">
        <f t="shared" si="0"/>
        <v>460000</v>
      </c>
    </row>
    <row r="10" spans="1:8">
      <c r="A10" s="42">
        <v>43590</v>
      </c>
      <c r="B10" s="6" t="s">
        <v>15</v>
      </c>
      <c r="C10" s="6" t="s">
        <v>16</v>
      </c>
      <c r="D10" s="7">
        <v>790000</v>
      </c>
      <c r="E10" s="41">
        <v>3</v>
      </c>
      <c r="F10" s="7">
        <f t="shared" si="0"/>
        <v>2370000</v>
      </c>
    </row>
    <row r="11" spans="1:8">
      <c r="A11" s="42">
        <v>43591</v>
      </c>
      <c r="B11" s="6" t="s">
        <v>8</v>
      </c>
      <c r="C11" s="6" t="s">
        <v>17</v>
      </c>
      <c r="D11" s="7">
        <v>375000</v>
      </c>
      <c r="E11" s="41">
        <v>2</v>
      </c>
      <c r="F11" s="7">
        <f t="shared" si="0"/>
        <v>750000</v>
      </c>
    </row>
    <row r="12" spans="1:8">
      <c r="A12" s="42">
        <v>43592</v>
      </c>
      <c r="B12" s="6" t="s">
        <v>10</v>
      </c>
      <c r="C12" s="6" t="s">
        <v>9</v>
      </c>
      <c r="D12" s="7">
        <v>590000</v>
      </c>
      <c r="E12" s="41">
        <v>3</v>
      </c>
      <c r="F12" s="7">
        <f t="shared" si="0"/>
        <v>1770000</v>
      </c>
    </row>
    <row r="13" spans="1:8">
      <c r="A13" s="42">
        <v>43593</v>
      </c>
      <c r="B13" s="6" t="s">
        <v>8</v>
      </c>
      <c r="C13" s="6" t="s">
        <v>11</v>
      </c>
      <c r="D13" s="7">
        <v>750000</v>
      </c>
      <c r="E13" s="41">
        <v>2</v>
      </c>
      <c r="F13" s="7">
        <f t="shared" si="0"/>
        <v>1500000</v>
      </c>
    </row>
    <row r="14" spans="1:8">
      <c r="A14" s="43">
        <v>43594</v>
      </c>
      <c r="B14" s="6" t="s">
        <v>13</v>
      </c>
      <c r="C14" s="6" t="s">
        <v>9</v>
      </c>
      <c r="D14" s="7">
        <v>590000</v>
      </c>
      <c r="E14" s="41">
        <v>3</v>
      </c>
      <c r="F14" s="7">
        <f t="shared" si="0"/>
        <v>1770000</v>
      </c>
    </row>
    <row r="15" spans="1:8">
      <c r="A15" s="42">
        <v>43595</v>
      </c>
      <c r="B15" s="6" t="s">
        <v>12</v>
      </c>
      <c r="C15" s="6" t="s">
        <v>11</v>
      </c>
      <c r="D15" s="7">
        <v>750000</v>
      </c>
      <c r="E15" s="41">
        <v>2</v>
      </c>
      <c r="F15" s="7">
        <f t="shared" si="0"/>
        <v>1500000</v>
      </c>
    </row>
    <row r="16" spans="1:8">
      <c r="A16" s="42">
        <v>43596</v>
      </c>
      <c r="B16" s="6" t="s">
        <v>10</v>
      </c>
      <c r="C16" s="6" t="s">
        <v>14</v>
      </c>
      <c r="D16" s="7">
        <v>460000</v>
      </c>
      <c r="E16" s="41">
        <v>1</v>
      </c>
      <c r="F16" s="7">
        <f t="shared" si="0"/>
        <v>460000</v>
      </c>
    </row>
    <row r="17" spans="1:6">
      <c r="A17" s="42">
        <v>43597</v>
      </c>
      <c r="B17" s="6" t="s">
        <v>13</v>
      </c>
      <c r="C17" s="6" t="s">
        <v>14</v>
      </c>
      <c r="D17" s="7">
        <v>460000</v>
      </c>
      <c r="E17" s="41">
        <v>1</v>
      </c>
      <c r="F17" s="7">
        <f t="shared" si="0"/>
        <v>460000</v>
      </c>
    </row>
    <row r="18" spans="1:6">
      <c r="A18" s="42">
        <v>43598</v>
      </c>
      <c r="B18" s="6" t="s">
        <v>15</v>
      </c>
      <c r="C18" s="6" t="s">
        <v>11</v>
      </c>
      <c r="D18" s="7">
        <v>750000</v>
      </c>
      <c r="E18" s="41">
        <v>1</v>
      </c>
      <c r="F18" s="7">
        <f t="shared" si="0"/>
        <v>750000</v>
      </c>
    </row>
    <row r="19" spans="1:6">
      <c r="A19" s="42">
        <v>43599</v>
      </c>
      <c r="B19" s="6" t="s">
        <v>15</v>
      </c>
      <c r="C19" s="6" t="s">
        <v>9</v>
      </c>
      <c r="D19" s="7">
        <v>590000</v>
      </c>
      <c r="E19" s="41">
        <v>2</v>
      </c>
      <c r="F19" s="7">
        <f t="shared" si="0"/>
        <v>1180000</v>
      </c>
    </row>
    <row r="20" spans="1:6">
      <c r="A20" s="43">
        <v>43600</v>
      </c>
      <c r="B20" s="6" t="s">
        <v>8</v>
      </c>
      <c r="C20" s="6" t="s">
        <v>17</v>
      </c>
      <c r="D20" s="7">
        <v>375000</v>
      </c>
      <c r="E20" s="41">
        <v>2</v>
      </c>
      <c r="F20" s="7">
        <f t="shared" si="0"/>
        <v>750000</v>
      </c>
    </row>
    <row r="21" spans="1:6" ht="15.75" customHeight="1">
      <c r="A21" s="42">
        <v>43601</v>
      </c>
      <c r="B21" s="6" t="s">
        <v>10</v>
      </c>
      <c r="C21" s="6" t="s">
        <v>16</v>
      </c>
      <c r="D21" s="7">
        <v>790000</v>
      </c>
      <c r="E21" s="41">
        <v>1</v>
      </c>
      <c r="F21" s="7">
        <f t="shared" si="0"/>
        <v>790000</v>
      </c>
    </row>
    <row r="22" spans="1:6" ht="15.75" customHeight="1">
      <c r="A22" s="42">
        <v>43602</v>
      </c>
      <c r="B22" s="6" t="s">
        <v>12</v>
      </c>
      <c r="C22" s="6" t="s">
        <v>16</v>
      </c>
      <c r="D22" s="7">
        <v>790000</v>
      </c>
      <c r="E22" s="41">
        <v>1</v>
      </c>
      <c r="F22" s="7">
        <f t="shared" si="0"/>
        <v>790000</v>
      </c>
    </row>
    <row r="23" spans="1:6" ht="15.75" customHeight="1">
      <c r="A23" s="42">
        <v>43603</v>
      </c>
      <c r="B23" s="6" t="s">
        <v>18</v>
      </c>
      <c r="C23" s="6" t="s">
        <v>9</v>
      </c>
      <c r="D23" s="7">
        <v>590000</v>
      </c>
      <c r="E23" s="41">
        <v>2</v>
      </c>
      <c r="F23" s="7">
        <f t="shared" si="0"/>
        <v>1180000</v>
      </c>
    </row>
    <row r="24" spans="1:6" ht="15.75" customHeight="1">
      <c r="A24" s="42">
        <v>43604</v>
      </c>
      <c r="B24" s="6" t="s">
        <v>10</v>
      </c>
      <c r="C24" s="6" t="s">
        <v>17</v>
      </c>
      <c r="D24" s="7">
        <v>375000</v>
      </c>
      <c r="E24" s="41">
        <v>2</v>
      </c>
      <c r="F24" s="7">
        <f t="shared" si="0"/>
        <v>750000</v>
      </c>
    </row>
    <row r="25" spans="1:6" ht="15.75" customHeight="1">
      <c r="A25" s="43">
        <v>43605</v>
      </c>
      <c r="B25" s="6" t="s">
        <v>18</v>
      </c>
      <c r="C25" s="6" t="s">
        <v>9</v>
      </c>
      <c r="D25" s="7">
        <v>590000</v>
      </c>
      <c r="E25" s="41">
        <v>1</v>
      </c>
      <c r="F25" s="7">
        <f t="shared" si="0"/>
        <v>590000</v>
      </c>
    </row>
    <row r="26" spans="1:6" ht="15.75" customHeight="1">
      <c r="A26" s="42">
        <v>43606</v>
      </c>
      <c r="B26" s="6" t="s">
        <v>15</v>
      </c>
      <c r="C26" s="6" t="s">
        <v>11</v>
      </c>
      <c r="D26" s="7">
        <v>750000</v>
      </c>
      <c r="E26" s="41">
        <v>1</v>
      </c>
      <c r="F26" s="7">
        <f t="shared" si="0"/>
        <v>750000</v>
      </c>
    </row>
    <row r="27" spans="1:6" ht="15.75" customHeight="1">
      <c r="A27" s="42">
        <v>43607</v>
      </c>
      <c r="B27" s="6" t="s">
        <v>12</v>
      </c>
      <c r="C27" s="6" t="s">
        <v>14</v>
      </c>
      <c r="D27" s="7">
        <v>460000</v>
      </c>
      <c r="E27" s="41">
        <v>1</v>
      </c>
      <c r="F27" s="7">
        <f t="shared" si="0"/>
        <v>460000</v>
      </c>
    </row>
    <row r="28" spans="1:6" ht="15.75" customHeight="1">
      <c r="A28" s="42">
        <v>43608</v>
      </c>
      <c r="B28" s="6" t="s">
        <v>12</v>
      </c>
      <c r="C28" s="6" t="s">
        <v>14</v>
      </c>
      <c r="D28" s="7">
        <v>460000</v>
      </c>
      <c r="E28" s="41">
        <v>3</v>
      </c>
      <c r="F28" s="7">
        <f t="shared" si="0"/>
        <v>1380000</v>
      </c>
    </row>
    <row r="29" spans="1:6" ht="15.75" customHeight="1">
      <c r="A29" s="42">
        <v>43609</v>
      </c>
      <c r="B29" s="6" t="s">
        <v>15</v>
      </c>
      <c r="C29" s="6" t="s">
        <v>17</v>
      </c>
      <c r="D29" s="7">
        <v>375000</v>
      </c>
      <c r="E29" s="41">
        <v>1</v>
      </c>
      <c r="F29" s="7">
        <f t="shared" si="0"/>
        <v>375000</v>
      </c>
    </row>
    <row r="30" spans="1:6" ht="15.75" customHeight="1">
      <c r="A30" s="42">
        <v>43610</v>
      </c>
      <c r="B30" s="6" t="s">
        <v>8</v>
      </c>
      <c r="C30" s="6" t="s">
        <v>16</v>
      </c>
      <c r="D30" s="7">
        <v>790000</v>
      </c>
      <c r="E30" s="41">
        <v>2</v>
      </c>
      <c r="F30" s="7">
        <f t="shared" si="0"/>
        <v>1580000</v>
      </c>
    </row>
    <row r="31" spans="1:6" ht="15.75" customHeight="1">
      <c r="A31" s="42">
        <v>43611</v>
      </c>
      <c r="B31" s="6" t="s">
        <v>13</v>
      </c>
      <c r="C31" s="6" t="s">
        <v>9</v>
      </c>
      <c r="D31" s="7">
        <v>590000</v>
      </c>
      <c r="E31" s="41">
        <v>1</v>
      </c>
      <c r="F31" s="7">
        <f t="shared" si="0"/>
        <v>590000</v>
      </c>
    </row>
    <row r="32" spans="1:6" ht="15.75" customHeight="1">
      <c r="A32" s="42">
        <v>43612</v>
      </c>
      <c r="B32" s="6" t="s">
        <v>10</v>
      </c>
      <c r="C32" s="6" t="s">
        <v>17</v>
      </c>
      <c r="D32" s="7">
        <v>375000</v>
      </c>
      <c r="E32" s="41">
        <v>2</v>
      </c>
      <c r="F32" s="7">
        <f t="shared" si="0"/>
        <v>750000</v>
      </c>
    </row>
    <row r="33" spans="1:6" ht="15.75" customHeight="1">
      <c r="A33" s="43">
        <v>43613</v>
      </c>
      <c r="B33" s="6" t="s">
        <v>8</v>
      </c>
      <c r="C33" s="6" t="s">
        <v>9</v>
      </c>
      <c r="D33" s="7">
        <v>590000</v>
      </c>
      <c r="E33" s="41">
        <v>3</v>
      </c>
      <c r="F33" s="7">
        <f t="shared" si="0"/>
        <v>1770000</v>
      </c>
    </row>
    <row r="34" spans="1:6" ht="15.75" customHeight="1">
      <c r="A34" s="42">
        <v>43614</v>
      </c>
      <c r="B34" s="6" t="s">
        <v>10</v>
      </c>
      <c r="C34" s="6" t="s">
        <v>11</v>
      </c>
      <c r="D34" s="7">
        <v>750000</v>
      </c>
      <c r="E34" s="41">
        <v>1</v>
      </c>
      <c r="F34" s="7">
        <f t="shared" si="0"/>
        <v>750000</v>
      </c>
    </row>
    <row r="35" spans="1:6" ht="15.75" customHeight="1">
      <c r="A35" s="42">
        <v>43615</v>
      </c>
      <c r="B35" s="6" t="s">
        <v>18</v>
      </c>
      <c r="C35" s="6" t="s">
        <v>14</v>
      </c>
      <c r="D35" s="7">
        <v>460000</v>
      </c>
      <c r="E35" s="41">
        <v>1</v>
      </c>
      <c r="F35" s="7">
        <f t="shared" si="0"/>
        <v>460000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conditionalFormatting sqref="F6:F35">
    <cfRule type="expression" dxfId="3" priority="2">
      <formula>F6=MAX($F$6:$F$35)</formula>
    </cfRule>
  </conditionalFormatting>
  <conditionalFormatting sqref="F6:F35">
    <cfRule type="expression" dxfId="2" priority="1">
      <formula>F6=MIN($F$6:$F$35)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J1000"/>
  <sheetViews>
    <sheetView workbookViewId="0">
      <selection activeCell="A21" sqref="A21:A30"/>
    </sheetView>
  </sheetViews>
  <sheetFormatPr defaultColWidth="14.42578125" defaultRowHeight="15" customHeight="1"/>
  <cols>
    <col min="1" max="1" width="12.5703125" customWidth="1"/>
    <col min="2" max="2" width="13.85546875" customWidth="1"/>
    <col min="3" max="3" width="13.28515625" customWidth="1"/>
    <col min="4" max="5" width="12.28515625" customWidth="1"/>
    <col min="6" max="6" width="11.5703125" customWidth="1"/>
    <col min="7" max="7" width="15.42578125" customWidth="1"/>
    <col min="8" max="8" width="8.7109375" customWidth="1"/>
    <col min="9" max="9" width="23.7109375" customWidth="1"/>
    <col min="10" max="26" width="8.7109375" customWidth="1"/>
  </cols>
  <sheetData>
    <row r="1" spans="1:10" ht="14.45">
      <c r="A1" s="1" t="s">
        <v>20</v>
      </c>
    </row>
    <row r="2" spans="1:10" ht="14.45">
      <c r="A2" s="1" t="s">
        <v>21</v>
      </c>
    </row>
    <row r="3" spans="1:10" ht="14.45">
      <c r="A3" s="1"/>
      <c r="I3" s="9" t="s">
        <v>22</v>
      </c>
      <c r="J3" s="9">
        <v>1000</v>
      </c>
    </row>
    <row r="4" spans="1:10" ht="14.45">
      <c r="A4" s="39" t="s">
        <v>23</v>
      </c>
      <c r="B4" s="53"/>
      <c r="C4" s="53"/>
      <c r="I4" s="9" t="s">
        <v>24</v>
      </c>
      <c r="J4" s="10">
        <f>MIN(B6:G14)</f>
        <v>189.84375</v>
      </c>
    </row>
    <row r="5" spans="1:10" ht="14.45">
      <c r="A5" s="11" t="s">
        <v>25</v>
      </c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I5" s="9" t="s">
        <v>32</v>
      </c>
      <c r="J5" s="10">
        <f>MAX(B6:G14)</f>
        <v>6831.0000000000018</v>
      </c>
    </row>
    <row r="6" spans="1:10" ht="14.45">
      <c r="A6" s="9" t="s">
        <v>8</v>
      </c>
      <c r="B6" s="9">
        <v>1200</v>
      </c>
      <c r="C6" s="9">
        <v>840</v>
      </c>
      <c r="D6" s="9">
        <v>900</v>
      </c>
      <c r="E6" s="9">
        <v>1201</v>
      </c>
      <c r="F6" s="9">
        <v>840.69999999999993</v>
      </c>
      <c r="G6" s="9">
        <v>901</v>
      </c>
    </row>
    <row r="7" spans="1:10" ht="14.45">
      <c r="A7" s="9" t="s">
        <v>10</v>
      </c>
      <c r="B7" s="9">
        <v>600</v>
      </c>
      <c r="C7" s="9">
        <v>420</v>
      </c>
      <c r="D7" s="9">
        <v>450</v>
      </c>
      <c r="E7" s="9">
        <v>600.5</v>
      </c>
      <c r="F7" s="9">
        <v>420.34999999999997</v>
      </c>
      <c r="G7" s="9">
        <v>450.5</v>
      </c>
    </row>
    <row r="8" spans="1:10" ht="14.45">
      <c r="A8" s="9" t="s">
        <v>12</v>
      </c>
      <c r="B8" s="9">
        <v>720</v>
      </c>
      <c r="C8" s="9">
        <v>210</v>
      </c>
      <c r="D8" s="9">
        <v>1350</v>
      </c>
      <c r="E8" s="9">
        <v>720.6</v>
      </c>
      <c r="F8" s="9">
        <v>210.17499999999998</v>
      </c>
      <c r="G8" s="9">
        <v>1351.5</v>
      </c>
    </row>
    <row r="9" spans="1:10" ht="14.45">
      <c r="A9" s="9" t="s">
        <v>13</v>
      </c>
      <c r="B9" s="9">
        <v>1320</v>
      </c>
      <c r="C9" s="9">
        <v>1242</v>
      </c>
      <c r="D9" s="9">
        <v>675</v>
      </c>
      <c r="E9" s="9">
        <v>1321.1000000000001</v>
      </c>
      <c r="F9" s="9">
        <v>920</v>
      </c>
      <c r="G9" s="9">
        <v>675.75</v>
      </c>
    </row>
    <row r="10" spans="1:10" ht="14.45">
      <c r="A10" s="9" t="s">
        <v>15</v>
      </c>
      <c r="B10" s="9">
        <v>792</v>
      </c>
      <c r="C10" s="9">
        <v>1330</v>
      </c>
      <c r="D10" s="9">
        <v>1012.5</v>
      </c>
      <c r="E10" s="9">
        <v>792.66000000000008</v>
      </c>
      <c r="F10" s="9">
        <v>1380</v>
      </c>
      <c r="G10" s="9">
        <v>1013.625</v>
      </c>
    </row>
    <row r="11" spans="1:10" ht="14.45">
      <c r="A11" s="9" t="s">
        <v>18</v>
      </c>
      <c r="B11" s="9">
        <v>1188</v>
      </c>
      <c r="C11" s="9">
        <v>1995</v>
      </c>
      <c r="D11" s="9">
        <v>506.25</v>
      </c>
      <c r="E11" s="9">
        <v>1250</v>
      </c>
      <c r="F11" s="9">
        <v>2070</v>
      </c>
      <c r="G11" s="9">
        <v>506.8125</v>
      </c>
    </row>
    <row r="12" spans="1:10" ht="14.45">
      <c r="A12" s="9" t="s">
        <v>33</v>
      </c>
      <c r="B12" s="9">
        <v>1742.4</v>
      </c>
      <c r="C12" s="9">
        <v>2926.0000000000005</v>
      </c>
      <c r="D12" s="9">
        <v>253.125</v>
      </c>
      <c r="E12" s="9">
        <v>1743.8520000000003</v>
      </c>
      <c r="F12" s="9">
        <v>3036.0000000000005</v>
      </c>
      <c r="G12" s="9">
        <v>253.40625</v>
      </c>
    </row>
    <row r="13" spans="1:10" ht="14.45">
      <c r="A13" s="9" t="s">
        <v>34</v>
      </c>
      <c r="B13" s="9">
        <v>1045.44</v>
      </c>
      <c r="C13" s="9">
        <v>4389.0000000000009</v>
      </c>
      <c r="D13" s="9">
        <v>379.6875</v>
      </c>
      <c r="E13" s="9">
        <v>1046.3112000000001</v>
      </c>
      <c r="F13" s="9">
        <v>4554.0000000000009</v>
      </c>
      <c r="G13" s="9">
        <v>380.109375</v>
      </c>
    </row>
    <row r="14" spans="1:10" ht="14.45">
      <c r="A14" s="9" t="s">
        <v>35</v>
      </c>
      <c r="B14" s="9">
        <v>1568.16</v>
      </c>
      <c r="C14" s="9">
        <v>6583.5000000000018</v>
      </c>
      <c r="D14" s="9">
        <v>189.84375</v>
      </c>
      <c r="E14" s="9">
        <v>1569.4668000000001</v>
      </c>
      <c r="F14" s="9">
        <v>6831.0000000000018</v>
      </c>
      <c r="G14" s="9">
        <v>190.0546875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conditionalFormatting sqref="B6:G14">
    <cfRule type="expression" dxfId="1" priority="4">
      <formula>B6&gt;$J$3</formula>
    </cfRule>
  </conditionalFormatting>
  <conditionalFormatting sqref="B6:G14">
    <cfRule type="expression" dxfId="0" priority="3">
      <formula>B6&lt;$J$3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2C33"/>
  </sheetPr>
  <dimension ref="A1:J1000"/>
  <sheetViews>
    <sheetView workbookViewId="0">
      <selection activeCell="I13" sqref="I13"/>
    </sheetView>
  </sheetViews>
  <sheetFormatPr defaultColWidth="14.42578125" defaultRowHeight="15" customHeight="1"/>
  <cols>
    <col min="1" max="1" width="16.42578125" customWidth="1"/>
    <col min="2" max="2" width="16.5703125" customWidth="1"/>
    <col min="3" max="3" width="14" customWidth="1"/>
    <col min="4" max="4" width="12" customWidth="1"/>
    <col min="5" max="5" width="7.85546875" customWidth="1"/>
    <col min="6" max="6" width="13.7109375" customWidth="1"/>
    <col min="7" max="8" width="8.7109375" customWidth="1"/>
    <col min="9" max="9" width="41.7109375" customWidth="1"/>
    <col min="10" max="10" width="20.42578125" customWidth="1"/>
    <col min="11" max="26" width="8.7109375" customWidth="1"/>
  </cols>
  <sheetData>
    <row r="1" spans="1:10" ht="14.45">
      <c r="A1" s="1" t="s">
        <v>36</v>
      </c>
    </row>
    <row r="4" spans="1:10" ht="14.45">
      <c r="A4" s="35" t="s">
        <v>1</v>
      </c>
      <c r="B4" s="52"/>
      <c r="C4" s="52"/>
    </row>
    <row r="5" spans="1:10" ht="14.4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I5" s="12" t="s">
        <v>37</v>
      </c>
      <c r="J5" s="12" t="s">
        <v>38</v>
      </c>
    </row>
    <row r="6" spans="1:10">
      <c r="A6" s="42">
        <v>43586</v>
      </c>
      <c r="B6" s="6" t="s">
        <v>8</v>
      </c>
      <c r="C6" s="6" t="s">
        <v>9</v>
      </c>
      <c r="D6" s="7">
        <v>590000</v>
      </c>
      <c r="E6" s="41">
        <v>1</v>
      </c>
      <c r="F6" s="7">
        <f>D6*E6</f>
        <v>590000</v>
      </c>
      <c r="I6" s="9" t="s">
        <v>39</v>
      </c>
      <c r="J6" s="13">
        <f>SUM(F6:F35)</f>
        <v>29365000</v>
      </c>
    </row>
    <row r="7" spans="1:10">
      <c r="A7" s="42">
        <v>43587</v>
      </c>
      <c r="B7" s="6" t="s">
        <v>10</v>
      </c>
      <c r="C7" s="6" t="s">
        <v>11</v>
      </c>
      <c r="D7" s="7">
        <v>750000</v>
      </c>
      <c r="E7" s="41">
        <v>2</v>
      </c>
      <c r="F7" s="7">
        <f t="shared" ref="F6:F35" si="0">D7*E7</f>
        <v>1500000</v>
      </c>
      <c r="I7" s="9" t="s">
        <v>40</v>
      </c>
      <c r="J7" s="14">
        <f>SUM(E6:E35)</f>
        <v>50</v>
      </c>
    </row>
    <row r="8" spans="1:10">
      <c r="A8" s="42">
        <v>43588</v>
      </c>
      <c r="B8" s="6" t="s">
        <v>12</v>
      </c>
      <c r="C8" s="6" t="s">
        <v>9</v>
      </c>
      <c r="D8" s="7">
        <v>590000</v>
      </c>
      <c r="E8" s="41">
        <v>1</v>
      </c>
      <c r="F8" s="7">
        <f t="shared" si="0"/>
        <v>590000</v>
      </c>
      <c r="I8" s="9" t="s">
        <v>41</v>
      </c>
      <c r="J8" s="14">
        <f>COUNTA(A6:A35)</f>
        <v>30</v>
      </c>
    </row>
    <row r="9" spans="1:10">
      <c r="A9" s="42">
        <v>43589</v>
      </c>
      <c r="B9" s="6" t="s">
        <v>13</v>
      </c>
      <c r="C9" s="6" t="s">
        <v>14</v>
      </c>
      <c r="D9" s="7">
        <v>460000</v>
      </c>
      <c r="E9" s="41">
        <v>1</v>
      </c>
      <c r="F9" s="7">
        <f t="shared" si="0"/>
        <v>460000</v>
      </c>
      <c r="I9" s="9" t="s">
        <v>42</v>
      </c>
      <c r="J9" s="13">
        <f>AVERAGE(F6:F35)</f>
        <v>978833.33333333337</v>
      </c>
    </row>
    <row r="10" spans="1:10">
      <c r="A10" s="42">
        <v>43590</v>
      </c>
      <c r="B10" s="6" t="s">
        <v>15</v>
      </c>
      <c r="C10" s="6" t="s">
        <v>16</v>
      </c>
      <c r="D10" s="7">
        <v>790000</v>
      </c>
      <c r="E10" s="41">
        <v>3</v>
      </c>
      <c r="F10" s="7">
        <f t="shared" si="0"/>
        <v>2370000</v>
      </c>
    </row>
    <row r="11" spans="1:10" ht="20.25" customHeight="1">
      <c r="A11" s="42">
        <v>43591</v>
      </c>
      <c r="B11" s="6" t="s">
        <v>8</v>
      </c>
      <c r="C11" s="6" t="s">
        <v>17</v>
      </c>
      <c r="D11" s="7">
        <v>375000</v>
      </c>
      <c r="E11" s="41">
        <v>2</v>
      </c>
      <c r="F11" s="7">
        <f t="shared" si="0"/>
        <v>750000</v>
      </c>
      <c r="I11" s="44" t="s">
        <v>43</v>
      </c>
      <c r="J11">
        <f>QUOTIENT(J6,J8)</f>
        <v>978833</v>
      </c>
    </row>
    <row r="12" spans="1:10">
      <c r="A12" s="42">
        <v>43592</v>
      </c>
      <c r="B12" s="6" t="s">
        <v>10</v>
      </c>
      <c r="C12" s="6" t="s">
        <v>9</v>
      </c>
      <c r="D12" s="7">
        <v>590000</v>
      </c>
      <c r="E12" s="41">
        <v>3</v>
      </c>
      <c r="F12" s="7">
        <f t="shared" si="0"/>
        <v>1770000</v>
      </c>
    </row>
    <row r="13" spans="1:10">
      <c r="A13" s="42">
        <v>43593</v>
      </c>
      <c r="B13" s="6" t="s">
        <v>8</v>
      </c>
      <c r="C13" s="6" t="s">
        <v>11</v>
      </c>
      <c r="D13" s="7">
        <v>750000</v>
      </c>
      <c r="E13" s="41">
        <v>2</v>
      </c>
      <c r="F13" s="7">
        <f t="shared" si="0"/>
        <v>1500000</v>
      </c>
    </row>
    <row r="14" spans="1:10">
      <c r="A14" s="42">
        <v>43594</v>
      </c>
      <c r="B14" s="6" t="s">
        <v>13</v>
      </c>
      <c r="C14" s="6" t="s">
        <v>9</v>
      </c>
      <c r="D14" s="7">
        <v>590000</v>
      </c>
      <c r="E14" s="41">
        <v>3</v>
      </c>
      <c r="F14" s="7">
        <f t="shared" si="0"/>
        <v>1770000</v>
      </c>
    </row>
    <row r="15" spans="1:10">
      <c r="A15" s="42">
        <v>43595</v>
      </c>
      <c r="B15" s="6" t="s">
        <v>12</v>
      </c>
      <c r="C15" s="6" t="s">
        <v>11</v>
      </c>
      <c r="D15" s="7">
        <v>750000</v>
      </c>
      <c r="E15" s="41">
        <v>2</v>
      </c>
      <c r="F15" s="7">
        <f t="shared" si="0"/>
        <v>1500000</v>
      </c>
    </row>
    <row r="16" spans="1:10">
      <c r="A16" s="42">
        <v>43596</v>
      </c>
      <c r="B16" s="6" t="s">
        <v>10</v>
      </c>
      <c r="C16" s="6" t="s">
        <v>14</v>
      </c>
      <c r="D16" s="7">
        <v>460000</v>
      </c>
      <c r="E16" s="41">
        <v>1</v>
      </c>
      <c r="F16" s="7">
        <f t="shared" si="0"/>
        <v>460000</v>
      </c>
    </row>
    <row r="17" spans="1:6">
      <c r="A17" s="42">
        <v>43597</v>
      </c>
      <c r="B17" s="6" t="s">
        <v>13</v>
      </c>
      <c r="C17" s="6" t="s">
        <v>14</v>
      </c>
      <c r="D17" s="7">
        <v>460000</v>
      </c>
      <c r="E17" s="41">
        <v>1</v>
      </c>
      <c r="F17" s="7">
        <f t="shared" si="0"/>
        <v>460000</v>
      </c>
    </row>
    <row r="18" spans="1:6">
      <c r="A18" s="42">
        <v>43598</v>
      </c>
      <c r="B18" s="6" t="s">
        <v>15</v>
      </c>
      <c r="C18" s="6" t="s">
        <v>11</v>
      </c>
      <c r="D18" s="7">
        <v>750000</v>
      </c>
      <c r="E18" s="41">
        <v>1</v>
      </c>
      <c r="F18" s="7">
        <f t="shared" si="0"/>
        <v>750000</v>
      </c>
    </row>
    <row r="19" spans="1:6">
      <c r="A19" s="42">
        <v>43599</v>
      </c>
      <c r="B19" s="6" t="s">
        <v>15</v>
      </c>
      <c r="C19" s="6" t="s">
        <v>9</v>
      </c>
      <c r="D19" s="7">
        <v>590000</v>
      </c>
      <c r="E19" s="41">
        <v>2</v>
      </c>
      <c r="F19" s="7">
        <f t="shared" si="0"/>
        <v>1180000</v>
      </c>
    </row>
    <row r="20" spans="1:6">
      <c r="A20" s="42">
        <v>43600</v>
      </c>
      <c r="B20" s="6" t="s">
        <v>8</v>
      </c>
      <c r="C20" s="6" t="s">
        <v>17</v>
      </c>
      <c r="D20" s="7">
        <v>375000</v>
      </c>
      <c r="E20" s="41">
        <v>2</v>
      </c>
      <c r="F20" s="7">
        <f t="shared" si="0"/>
        <v>750000</v>
      </c>
    </row>
    <row r="21" spans="1:6" ht="15.75" customHeight="1">
      <c r="A21" s="42">
        <v>43601</v>
      </c>
      <c r="B21" s="6" t="s">
        <v>10</v>
      </c>
      <c r="C21" s="6" t="s">
        <v>16</v>
      </c>
      <c r="D21" s="7">
        <v>790000</v>
      </c>
      <c r="E21" s="41">
        <v>1</v>
      </c>
      <c r="F21" s="7">
        <f t="shared" si="0"/>
        <v>790000</v>
      </c>
    </row>
    <row r="22" spans="1:6" ht="15.75" customHeight="1">
      <c r="A22" s="42">
        <v>43602</v>
      </c>
      <c r="B22" s="6" t="s">
        <v>12</v>
      </c>
      <c r="C22" s="6" t="s">
        <v>16</v>
      </c>
      <c r="D22" s="7">
        <v>790000</v>
      </c>
      <c r="E22" s="41">
        <v>1</v>
      </c>
      <c r="F22" s="7">
        <f t="shared" si="0"/>
        <v>790000</v>
      </c>
    </row>
    <row r="23" spans="1:6" ht="15.75" customHeight="1">
      <c r="A23" s="42">
        <v>43603</v>
      </c>
      <c r="B23" s="6" t="s">
        <v>18</v>
      </c>
      <c r="C23" s="6" t="s">
        <v>9</v>
      </c>
      <c r="D23" s="7">
        <v>590000</v>
      </c>
      <c r="E23" s="41">
        <v>2</v>
      </c>
      <c r="F23" s="7">
        <f t="shared" si="0"/>
        <v>1180000</v>
      </c>
    </row>
    <row r="24" spans="1:6" ht="15.75" customHeight="1">
      <c r="A24" s="42">
        <v>43604</v>
      </c>
      <c r="B24" s="6" t="s">
        <v>10</v>
      </c>
      <c r="C24" s="6" t="s">
        <v>17</v>
      </c>
      <c r="D24" s="7">
        <v>375000</v>
      </c>
      <c r="E24" s="41">
        <v>2</v>
      </c>
      <c r="F24" s="7">
        <f t="shared" si="0"/>
        <v>750000</v>
      </c>
    </row>
    <row r="25" spans="1:6" ht="15.75" customHeight="1">
      <c r="A25" s="42">
        <v>43605</v>
      </c>
      <c r="B25" s="6" t="s">
        <v>18</v>
      </c>
      <c r="C25" s="6" t="s">
        <v>9</v>
      </c>
      <c r="D25" s="7">
        <v>590000</v>
      </c>
      <c r="E25" s="41">
        <v>1</v>
      </c>
      <c r="F25" s="7">
        <f t="shared" si="0"/>
        <v>590000</v>
      </c>
    </row>
    <row r="26" spans="1:6" ht="15.75" customHeight="1">
      <c r="A26" s="42">
        <v>43606</v>
      </c>
      <c r="B26" s="6" t="s">
        <v>15</v>
      </c>
      <c r="C26" s="6" t="s">
        <v>11</v>
      </c>
      <c r="D26" s="7">
        <v>750000</v>
      </c>
      <c r="E26" s="41">
        <v>1</v>
      </c>
      <c r="F26" s="7">
        <f t="shared" si="0"/>
        <v>750000</v>
      </c>
    </row>
    <row r="27" spans="1:6" ht="15.75" customHeight="1">
      <c r="A27" s="42">
        <v>43607</v>
      </c>
      <c r="B27" s="6" t="s">
        <v>12</v>
      </c>
      <c r="C27" s="6" t="s">
        <v>14</v>
      </c>
      <c r="D27" s="7">
        <v>460000</v>
      </c>
      <c r="E27" s="41">
        <v>1</v>
      </c>
      <c r="F27" s="7">
        <f t="shared" si="0"/>
        <v>460000</v>
      </c>
    </row>
    <row r="28" spans="1:6" ht="15.75" customHeight="1">
      <c r="A28" s="42">
        <v>43608</v>
      </c>
      <c r="B28" s="6" t="s">
        <v>12</v>
      </c>
      <c r="C28" s="6" t="s">
        <v>14</v>
      </c>
      <c r="D28" s="7">
        <v>460000</v>
      </c>
      <c r="E28" s="41">
        <v>3</v>
      </c>
      <c r="F28" s="7">
        <f t="shared" si="0"/>
        <v>1380000</v>
      </c>
    </row>
    <row r="29" spans="1:6" ht="15.75" customHeight="1">
      <c r="A29" s="42">
        <v>43609</v>
      </c>
      <c r="B29" s="6" t="s">
        <v>15</v>
      </c>
      <c r="C29" s="6" t="s">
        <v>17</v>
      </c>
      <c r="D29" s="7">
        <v>375000</v>
      </c>
      <c r="E29" s="41">
        <v>1</v>
      </c>
      <c r="F29" s="7">
        <f t="shared" si="0"/>
        <v>375000</v>
      </c>
    </row>
    <row r="30" spans="1:6" ht="15.75" customHeight="1">
      <c r="A30" s="42">
        <v>43610</v>
      </c>
      <c r="B30" s="6" t="s">
        <v>8</v>
      </c>
      <c r="C30" s="6" t="s">
        <v>16</v>
      </c>
      <c r="D30" s="7">
        <v>790000</v>
      </c>
      <c r="E30" s="41">
        <v>2</v>
      </c>
      <c r="F30" s="7">
        <f t="shared" si="0"/>
        <v>1580000</v>
      </c>
    </row>
    <row r="31" spans="1:6" ht="15.75" customHeight="1">
      <c r="A31" s="42">
        <v>43611</v>
      </c>
      <c r="B31" s="6" t="s">
        <v>13</v>
      </c>
      <c r="C31" s="6" t="s">
        <v>9</v>
      </c>
      <c r="D31" s="7">
        <v>590000</v>
      </c>
      <c r="E31" s="41">
        <v>1</v>
      </c>
      <c r="F31" s="7">
        <f t="shared" si="0"/>
        <v>590000</v>
      </c>
    </row>
    <row r="32" spans="1:6" ht="15.75" customHeight="1">
      <c r="A32" s="42">
        <v>43612</v>
      </c>
      <c r="B32" s="6" t="s">
        <v>10</v>
      </c>
      <c r="C32" s="6" t="s">
        <v>17</v>
      </c>
      <c r="D32" s="7">
        <v>375000</v>
      </c>
      <c r="E32" s="41">
        <v>2</v>
      </c>
      <c r="F32" s="7">
        <f t="shared" si="0"/>
        <v>750000</v>
      </c>
    </row>
    <row r="33" spans="1:6" ht="15.75" customHeight="1">
      <c r="A33" s="42">
        <v>43613</v>
      </c>
      <c r="B33" s="6" t="s">
        <v>8</v>
      </c>
      <c r="C33" s="6" t="s">
        <v>9</v>
      </c>
      <c r="D33" s="7">
        <v>590000</v>
      </c>
      <c r="E33" s="41">
        <v>3</v>
      </c>
      <c r="F33" s="7">
        <f t="shared" si="0"/>
        <v>1770000</v>
      </c>
    </row>
    <row r="34" spans="1:6" ht="15.75" customHeight="1">
      <c r="A34" s="42">
        <v>43614</v>
      </c>
      <c r="B34" s="6" t="s">
        <v>10</v>
      </c>
      <c r="C34" s="6" t="s">
        <v>11</v>
      </c>
      <c r="D34" s="7">
        <v>750000</v>
      </c>
      <c r="E34" s="41">
        <v>1</v>
      </c>
      <c r="F34" s="7">
        <f t="shared" si="0"/>
        <v>750000</v>
      </c>
    </row>
    <row r="35" spans="1:6" ht="15.75" customHeight="1">
      <c r="A35" s="42">
        <v>43615</v>
      </c>
      <c r="B35" s="6" t="s">
        <v>18</v>
      </c>
      <c r="C35" s="6" t="s">
        <v>14</v>
      </c>
      <c r="D35" s="7">
        <v>460000</v>
      </c>
      <c r="E35" s="41">
        <v>1</v>
      </c>
      <c r="F35" s="7">
        <f t="shared" si="0"/>
        <v>460000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J1000"/>
  <sheetViews>
    <sheetView workbookViewId="0">
      <selection activeCell="K15" sqref="K15"/>
    </sheetView>
  </sheetViews>
  <sheetFormatPr defaultColWidth="14.42578125" defaultRowHeight="15" customHeight="1"/>
  <cols>
    <col min="1" max="1" width="16.28515625" customWidth="1"/>
    <col min="2" max="2" width="19.140625" customWidth="1"/>
    <col min="3" max="3" width="13.85546875" customWidth="1"/>
    <col min="4" max="4" width="12" customWidth="1"/>
    <col min="5" max="5" width="6.28515625" customWidth="1"/>
    <col min="6" max="6" width="13.7109375" customWidth="1"/>
    <col min="7" max="7" width="8.7109375" customWidth="1"/>
    <col min="8" max="8" width="20.7109375" customWidth="1"/>
    <col min="9" max="9" width="17.7109375" customWidth="1"/>
    <col min="10" max="10" width="13.28515625" customWidth="1"/>
    <col min="11" max="11" width="15.85546875" customWidth="1"/>
    <col min="12" max="26" width="8.7109375" customWidth="1"/>
  </cols>
  <sheetData>
    <row r="1" spans="1:10" ht="14.45">
      <c r="A1" s="1" t="s">
        <v>44</v>
      </c>
    </row>
    <row r="2" spans="1:10" ht="14.45">
      <c r="A2" s="1" t="s">
        <v>45</v>
      </c>
    </row>
    <row r="4" spans="1:10" ht="14.45">
      <c r="A4" s="35" t="s">
        <v>1</v>
      </c>
      <c r="B4" s="52"/>
      <c r="C4" s="52"/>
    </row>
    <row r="5" spans="1:10" ht="14.4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H5" s="45" t="s">
        <v>3</v>
      </c>
      <c r="I5" t="s">
        <v>46</v>
      </c>
      <c r="J5" t="s">
        <v>47</v>
      </c>
    </row>
    <row r="6" spans="1:10">
      <c r="A6" s="42">
        <v>43586</v>
      </c>
      <c r="B6" s="6" t="s">
        <v>8</v>
      </c>
      <c r="C6" s="6" t="s">
        <v>9</v>
      </c>
      <c r="D6" s="7">
        <v>590000</v>
      </c>
      <c r="E6" s="41">
        <v>1</v>
      </c>
      <c r="F6" s="7">
        <f t="shared" ref="F6:F35" si="0">D6*E6</f>
        <v>590000</v>
      </c>
      <c r="H6" s="48" t="s">
        <v>8</v>
      </c>
      <c r="I6" s="49">
        <v>6940000</v>
      </c>
      <c r="J6" s="50">
        <v>12</v>
      </c>
    </row>
    <row r="7" spans="1:10">
      <c r="A7" s="42">
        <v>43587</v>
      </c>
      <c r="B7" s="6" t="s">
        <v>10</v>
      </c>
      <c r="C7" s="6" t="s">
        <v>11</v>
      </c>
      <c r="D7" s="7">
        <v>750000</v>
      </c>
      <c r="E7" s="41">
        <v>2</v>
      </c>
      <c r="F7" s="7">
        <f t="shared" si="0"/>
        <v>1500000</v>
      </c>
      <c r="H7" t="s">
        <v>10</v>
      </c>
      <c r="I7" s="46">
        <v>6770000</v>
      </c>
      <c r="J7" s="47">
        <v>12</v>
      </c>
    </row>
    <row r="8" spans="1:10">
      <c r="A8" s="42">
        <v>43588</v>
      </c>
      <c r="B8" s="6" t="s">
        <v>12</v>
      </c>
      <c r="C8" s="6" t="s">
        <v>9</v>
      </c>
      <c r="D8" s="7">
        <v>590000</v>
      </c>
      <c r="E8" s="41">
        <v>1</v>
      </c>
      <c r="F8" s="7">
        <f t="shared" si="0"/>
        <v>590000</v>
      </c>
      <c r="H8" t="s">
        <v>15</v>
      </c>
      <c r="I8" s="46">
        <v>5425000</v>
      </c>
      <c r="J8" s="47">
        <v>8</v>
      </c>
    </row>
    <row r="9" spans="1:10">
      <c r="A9" s="42">
        <v>43589</v>
      </c>
      <c r="B9" s="6" t="s">
        <v>13</v>
      </c>
      <c r="C9" s="6" t="s">
        <v>14</v>
      </c>
      <c r="D9" s="7">
        <v>460000</v>
      </c>
      <c r="E9" s="41">
        <v>1</v>
      </c>
      <c r="F9" s="7">
        <f t="shared" si="0"/>
        <v>460000</v>
      </c>
      <c r="H9" t="s">
        <v>12</v>
      </c>
      <c r="I9" s="46">
        <v>4720000</v>
      </c>
      <c r="J9" s="47">
        <v>8</v>
      </c>
    </row>
    <row r="10" spans="1:10">
      <c r="A10" s="42">
        <v>43590</v>
      </c>
      <c r="B10" s="6" t="s">
        <v>15</v>
      </c>
      <c r="C10" s="6" t="s">
        <v>16</v>
      </c>
      <c r="D10" s="7">
        <v>790000</v>
      </c>
      <c r="E10" s="41">
        <v>3</v>
      </c>
      <c r="F10" s="7">
        <f t="shared" si="0"/>
        <v>2370000</v>
      </c>
      <c r="H10" t="s">
        <v>13</v>
      </c>
      <c r="I10" s="46">
        <v>3280000</v>
      </c>
      <c r="J10" s="47">
        <v>6</v>
      </c>
    </row>
    <row r="11" spans="1:10">
      <c r="A11" s="42">
        <v>43591</v>
      </c>
      <c r="B11" s="6" t="s">
        <v>8</v>
      </c>
      <c r="C11" s="6" t="s">
        <v>17</v>
      </c>
      <c r="D11" s="7">
        <v>375000</v>
      </c>
      <c r="E11" s="41">
        <v>2</v>
      </c>
      <c r="F11" s="7">
        <f t="shared" si="0"/>
        <v>750000</v>
      </c>
      <c r="H11" t="s">
        <v>18</v>
      </c>
      <c r="I11" s="46">
        <v>2230000</v>
      </c>
      <c r="J11" s="47">
        <v>4</v>
      </c>
    </row>
    <row r="12" spans="1:10">
      <c r="A12" s="42">
        <v>43592</v>
      </c>
      <c r="B12" s="6" t="s">
        <v>10</v>
      </c>
      <c r="C12" s="6" t="s">
        <v>9</v>
      </c>
      <c r="D12" s="7">
        <v>590000</v>
      </c>
      <c r="E12" s="41">
        <v>3</v>
      </c>
      <c r="F12" s="7">
        <f t="shared" si="0"/>
        <v>1770000</v>
      </c>
      <c r="H12" t="s">
        <v>48</v>
      </c>
      <c r="I12" s="46">
        <v>29365000</v>
      </c>
      <c r="J12" s="47">
        <v>50</v>
      </c>
    </row>
    <row r="13" spans="1:10">
      <c r="A13" s="42">
        <v>43593</v>
      </c>
      <c r="B13" s="6" t="s">
        <v>8</v>
      </c>
      <c r="C13" s="6" t="s">
        <v>11</v>
      </c>
      <c r="D13" s="7">
        <v>750000</v>
      </c>
      <c r="E13" s="41">
        <v>2</v>
      </c>
      <c r="F13" s="7">
        <f t="shared" si="0"/>
        <v>1500000</v>
      </c>
    </row>
    <row r="14" spans="1:10">
      <c r="A14" s="42">
        <v>43594</v>
      </c>
      <c r="B14" s="6" t="s">
        <v>13</v>
      </c>
      <c r="C14" s="6" t="s">
        <v>9</v>
      </c>
      <c r="D14" s="7">
        <v>590000</v>
      </c>
      <c r="E14" s="41">
        <v>3</v>
      </c>
      <c r="F14" s="7">
        <f t="shared" si="0"/>
        <v>1770000</v>
      </c>
    </row>
    <row r="15" spans="1:10">
      <c r="A15" s="42">
        <v>43595</v>
      </c>
      <c r="B15" s="6" t="s">
        <v>12</v>
      </c>
      <c r="C15" s="6" t="s">
        <v>11</v>
      </c>
      <c r="D15" s="7">
        <v>750000</v>
      </c>
      <c r="E15" s="41">
        <v>2</v>
      </c>
      <c r="F15" s="7">
        <f t="shared" si="0"/>
        <v>1500000</v>
      </c>
    </row>
    <row r="16" spans="1:10">
      <c r="A16" s="42">
        <v>43596</v>
      </c>
      <c r="B16" s="6" t="s">
        <v>10</v>
      </c>
      <c r="C16" s="6" t="s">
        <v>14</v>
      </c>
      <c r="D16" s="7">
        <v>460000</v>
      </c>
      <c r="E16" s="41">
        <v>1</v>
      </c>
      <c r="F16" s="7">
        <f t="shared" si="0"/>
        <v>460000</v>
      </c>
    </row>
    <row r="17" spans="1:6">
      <c r="A17" s="42">
        <v>43597</v>
      </c>
      <c r="B17" s="6" t="s">
        <v>13</v>
      </c>
      <c r="C17" s="6" t="s">
        <v>14</v>
      </c>
      <c r="D17" s="7">
        <v>460000</v>
      </c>
      <c r="E17" s="41">
        <v>1</v>
      </c>
      <c r="F17" s="7">
        <f t="shared" si="0"/>
        <v>460000</v>
      </c>
    </row>
    <row r="18" spans="1:6">
      <c r="A18" s="42">
        <v>43598</v>
      </c>
      <c r="B18" s="6" t="s">
        <v>15</v>
      </c>
      <c r="C18" s="6" t="s">
        <v>11</v>
      </c>
      <c r="D18" s="7">
        <v>750000</v>
      </c>
      <c r="E18" s="41">
        <v>1</v>
      </c>
      <c r="F18" s="7">
        <f t="shared" si="0"/>
        <v>750000</v>
      </c>
    </row>
    <row r="19" spans="1:6">
      <c r="A19" s="42">
        <v>43599</v>
      </c>
      <c r="B19" s="6" t="s">
        <v>15</v>
      </c>
      <c r="C19" s="6" t="s">
        <v>9</v>
      </c>
      <c r="D19" s="7">
        <v>590000</v>
      </c>
      <c r="E19" s="41">
        <v>2</v>
      </c>
      <c r="F19" s="7">
        <f t="shared" si="0"/>
        <v>1180000</v>
      </c>
    </row>
    <row r="20" spans="1:6">
      <c r="A20" s="42">
        <v>43600</v>
      </c>
      <c r="B20" s="6" t="s">
        <v>8</v>
      </c>
      <c r="C20" s="6" t="s">
        <v>17</v>
      </c>
      <c r="D20" s="7">
        <v>375000</v>
      </c>
      <c r="E20" s="41">
        <v>2</v>
      </c>
      <c r="F20" s="7">
        <f t="shared" si="0"/>
        <v>750000</v>
      </c>
    </row>
    <row r="21" spans="1:6" ht="15.75" customHeight="1">
      <c r="A21" s="42">
        <v>43601</v>
      </c>
      <c r="B21" s="6" t="s">
        <v>10</v>
      </c>
      <c r="C21" s="6" t="s">
        <v>16</v>
      </c>
      <c r="D21" s="7">
        <v>790000</v>
      </c>
      <c r="E21" s="41">
        <v>1</v>
      </c>
      <c r="F21" s="7">
        <f t="shared" si="0"/>
        <v>790000</v>
      </c>
    </row>
    <row r="22" spans="1:6" ht="15.75" customHeight="1">
      <c r="A22" s="42">
        <v>43602</v>
      </c>
      <c r="B22" s="6" t="s">
        <v>12</v>
      </c>
      <c r="C22" s="6" t="s">
        <v>16</v>
      </c>
      <c r="D22" s="7">
        <v>790000</v>
      </c>
      <c r="E22" s="41">
        <v>1</v>
      </c>
      <c r="F22" s="7">
        <f t="shared" si="0"/>
        <v>790000</v>
      </c>
    </row>
    <row r="23" spans="1:6" ht="15.75" customHeight="1">
      <c r="A23" s="42">
        <v>43603</v>
      </c>
      <c r="B23" s="6" t="s">
        <v>18</v>
      </c>
      <c r="C23" s="6" t="s">
        <v>9</v>
      </c>
      <c r="D23" s="7">
        <v>590000</v>
      </c>
      <c r="E23" s="41">
        <v>2</v>
      </c>
      <c r="F23" s="7">
        <f t="shared" si="0"/>
        <v>1180000</v>
      </c>
    </row>
    <row r="24" spans="1:6" ht="15.75" customHeight="1">
      <c r="A24" s="42">
        <v>43604</v>
      </c>
      <c r="B24" s="6" t="s">
        <v>10</v>
      </c>
      <c r="C24" s="6" t="s">
        <v>17</v>
      </c>
      <c r="D24" s="7">
        <v>375000</v>
      </c>
      <c r="E24" s="41">
        <v>2</v>
      </c>
      <c r="F24" s="7">
        <f t="shared" si="0"/>
        <v>750000</v>
      </c>
    </row>
    <row r="25" spans="1:6" ht="15.75" customHeight="1">
      <c r="A25" s="42">
        <v>43605</v>
      </c>
      <c r="B25" s="6" t="s">
        <v>18</v>
      </c>
      <c r="C25" s="6" t="s">
        <v>9</v>
      </c>
      <c r="D25" s="7">
        <v>590000</v>
      </c>
      <c r="E25" s="41">
        <v>1</v>
      </c>
      <c r="F25" s="7">
        <f t="shared" si="0"/>
        <v>590000</v>
      </c>
    </row>
    <row r="26" spans="1:6" ht="15.75" customHeight="1">
      <c r="A26" s="42">
        <v>43606</v>
      </c>
      <c r="B26" s="6" t="s">
        <v>15</v>
      </c>
      <c r="C26" s="6" t="s">
        <v>11</v>
      </c>
      <c r="D26" s="7">
        <v>750000</v>
      </c>
      <c r="E26" s="41">
        <v>1</v>
      </c>
      <c r="F26" s="7">
        <f t="shared" si="0"/>
        <v>750000</v>
      </c>
    </row>
    <row r="27" spans="1:6" ht="15.75" customHeight="1">
      <c r="A27" s="42">
        <v>43607</v>
      </c>
      <c r="B27" s="6" t="s">
        <v>12</v>
      </c>
      <c r="C27" s="6" t="s">
        <v>14</v>
      </c>
      <c r="D27" s="7">
        <v>460000</v>
      </c>
      <c r="E27" s="41">
        <v>1</v>
      </c>
      <c r="F27" s="7">
        <f t="shared" si="0"/>
        <v>460000</v>
      </c>
    </row>
    <row r="28" spans="1:6" ht="15.75" customHeight="1">
      <c r="A28" s="42">
        <v>43608</v>
      </c>
      <c r="B28" s="6" t="s">
        <v>12</v>
      </c>
      <c r="C28" s="6" t="s">
        <v>14</v>
      </c>
      <c r="D28" s="7">
        <v>460000</v>
      </c>
      <c r="E28" s="41">
        <v>3</v>
      </c>
      <c r="F28" s="7">
        <f t="shared" si="0"/>
        <v>1380000</v>
      </c>
    </row>
    <row r="29" spans="1:6" ht="15.75" customHeight="1">
      <c r="A29" s="42">
        <v>43609</v>
      </c>
      <c r="B29" s="6" t="s">
        <v>15</v>
      </c>
      <c r="C29" s="6" t="s">
        <v>17</v>
      </c>
      <c r="D29" s="7">
        <v>375000</v>
      </c>
      <c r="E29" s="41">
        <v>1</v>
      </c>
      <c r="F29" s="7">
        <f t="shared" si="0"/>
        <v>375000</v>
      </c>
    </row>
    <row r="30" spans="1:6" ht="15.75" customHeight="1">
      <c r="A30" s="42">
        <v>43610</v>
      </c>
      <c r="B30" s="6" t="s">
        <v>8</v>
      </c>
      <c r="C30" s="6" t="s">
        <v>16</v>
      </c>
      <c r="D30" s="7">
        <v>790000</v>
      </c>
      <c r="E30" s="41">
        <v>2</v>
      </c>
      <c r="F30" s="7">
        <f t="shared" si="0"/>
        <v>1580000</v>
      </c>
    </row>
    <row r="31" spans="1:6" ht="15.75" customHeight="1">
      <c r="A31" s="42">
        <v>43611</v>
      </c>
      <c r="B31" s="6" t="s">
        <v>13</v>
      </c>
      <c r="C31" s="6" t="s">
        <v>9</v>
      </c>
      <c r="D31" s="7">
        <v>590000</v>
      </c>
      <c r="E31" s="41">
        <v>1</v>
      </c>
      <c r="F31" s="7">
        <f t="shared" si="0"/>
        <v>590000</v>
      </c>
    </row>
    <row r="32" spans="1:6" ht="15.75" customHeight="1">
      <c r="A32" s="42">
        <v>43612</v>
      </c>
      <c r="B32" s="6" t="s">
        <v>10</v>
      </c>
      <c r="C32" s="6" t="s">
        <v>17</v>
      </c>
      <c r="D32" s="7">
        <v>375000</v>
      </c>
      <c r="E32" s="41">
        <v>2</v>
      </c>
      <c r="F32" s="7">
        <f t="shared" si="0"/>
        <v>750000</v>
      </c>
    </row>
    <row r="33" spans="1:6" ht="15.75" customHeight="1">
      <c r="A33" s="42">
        <v>43613</v>
      </c>
      <c r="B33" s="6" t="s">
        <v>8</v>
      </c>
      <c r="C33" s="6" t="s">
        <v>9</v>
      </c>
      <c r="D33" s="7">
        <v>590000</v>
      </c>
      <c r="E33" s="41">
        <v>3</v>
      </c>
      <c r="F33" s="7">
        <f t="shared" si="0"/>
        <v>1770000</v>
      </c>
    </row>
    <row r="34" spans="1:6" ht="15.75" customHeight="1">
      <c r="A34" s="42">
        <v>43614</v>
      </c>
      <c r="B34" s="6" t="s">
        <v>10</v>
      </c>
      <c r="C34" s="6" t="s">
        <v>11</v>
      </c>
      <c r="D34" s="7">
        <v>750000</v>
      </c>
      <c r="E34" s="41">
        <v>1</v>
      </c>
      <c r="F34" s="7">
        <f t="shared" si="0"/>
        <v>750000</v>
      </c>
    </row>
    <row r="35" spans="1:6" ht="15.75" customHeight="1">
      <c r="A35" s="42">
        <v>43615</v>
      </c>
      <c r="B35" s="6" t="s">
        <v>18</v>
      </c>
      <c r="C35" s="6" t="s">
        <v>14</v>
      </c>
      <c r="D35" s="7">
        <v>460000</v>
      </c>
      <c r="E35" s="41">
        <v>1</v>
      </c>
      <c r="F35" s="7">
        <f t="shared" si="0"/>
        <v>460000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>
      <c r="A56" s="2" t="s">
        <v>49</v>
      </c>
    </row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K1000"/>
  <sheetViews>
    <sheetView topLeftCell="B1" workbookViewId="0">
      <selection activeCell="F5" sqref="F5:F34"/>
    </sheetView>
  </sheetViews>
  <sheetFormatPr defaultColWidth="14.42578125" defaultRowHeight="15" customHeight="1"/>
  <cols>
    <col min="1" max="1" width="11" customWidth="1"/>
    <col min="2" max="2" width="8.7109375" customWidth="1"/>
    <col min="3" max="3" width="12.28515625" customWidth="1"/>
    <col min="4" max="4" width="11.42578125" customWidth="1"/>
    <col min="5" max="5" width="8.7109375" customWidth="1"/>
    <col min="6" max="6" width="13.28515625" customWidth="1"/>
    <col min="7" max="9" width="8.7109375" customWidth="1"/>
    <col min="10" max="10" width="11.7109375" customWidth="1"/>
    <col min="11" max="11" width="13.5703125" customWidth="1"/>
    <col min="12" max="26" width="8.7109375" customWidth="1"/>
  </cols>
  <sheetData>
    <row r="1" spans="1:11" ht="14.45">
      <c r="A1" s="1" t="s">
        <v>50</v>
      </c>
    </row>
    <row r="3" spans="1:11" ht="14.45">
      <c r="J3" s="15" t="s">
        <v>4</v>
      </c>
      <c r="K3" s="15" t="s">
        <v>51</v>
      </c>
    </row>
    <row r="4" spans="1:11" ht="14.4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J4" s="9" t="s">
        <v>9</v>
      </c>
      <c r="K4" s="9">
        <v>590000</v>
      </c>
    </row>
    <row r="5" spans="1:11">
      <c r="A5" s="42">
        <v>43586</v>
      </c>
      <c r="B5" s="6" t="s">
        <v>8</v>
      </c>
      <c r="C5" s="6" t="s">
        <v>9</v>
      </c>
      <c r="D5" s="16">
        <f>VLOOKUP(C5,$J$4:$K$9,2,0)</f>
        <v>590000</v>
      </c>
      <c r="E5" s="41">
        <v>1</v>
      </c>
      <c r="F5" s="16">
        <f>D5*E5</f>
        <v>590000</v>
      </c>
      <c r="J5" s="9" t="s">
        <v>11</v>
      </c>
      <c r="K5" s="9">
        <v>750000</v>
      </c>
    </row>
    <row r="6" spans="1:11">
      <c r="A6" s="42">
        <v>43587</v>
      </c>
      <c r="B6" s="6" t="s">
        <v>10</v>
      </c>
      <c r="C6" s="6" t="s">
        <v>11</v>
      </c>
      <c r="D6" s="16">
        <f t="shared" ref="D6:D34" si="0">VLOOKUP(C6,$J$4:$K$9,2,0)</f>
        <v>750000</v>
      </c>
      <c r="E6" s="41">
        <v>2</v>
      </c>
      <c r="F6" s="16">
        <f t="shared" ref="F6:F34" si="1">D6*E6</f>
        <v>1500000</v>
      </c>
      <c r="J6" s="9" t="s">
        <v>14</v>
      </c>
      <c r="K6" s="9">
        <v>460000</v>
      </c>
    </row>
    <row r="7" spans="1:11">
      <c r="A7" s="42">
        <v>43588</v>
      </c>
      <c r="B7" s="6" t="s">
        <v>12</v>
      </c>
      <c r="C7" s="6" t="s">
        <v>9</v>
      </c>
      <c r="D7" s="16">
        <f t="shared" si="0"/>
        <v>590000</v>
      </c>
      <c r="E7" s="41">
        <v>1</v>
      </c>
      <c r="F7" s="16">
        <f t="shared" si="1"/>
        <v>590000</v>
      </c>
      <c r="J7" s="9" t="s">
        <v>16</v>
      </c>
      <c r="K7" s="9">
        <v>790000</v>
      </c>
    </row>
    <row r="8" spans="1:11">
      <c r="A8" s="42">
        <v>43589</v>
      </c>
      <c r="B8" s="6" t="s">
        <v>13</v>
      </c>
      <c r="C8" s="6" t="s">
        <v>14</v>
      </c>
      <c r="D8" s="16">
        <f t="shared" si="0"/>
        <v>460000</v>
      </c>
      <c r="E8" s="41">
        <v>1</v>
      </c>
      <c r="F8" s="16">
        <f t="shared" si="1"/>
        <v>460000</v>
      </c>
      <c r="J8" s="9" t="s">
        <v>17</v>
      </c>
      <c r="K8" s="9">
        <v>375000</v>
      </c>
    </row>
    <row r="9" spans="1:11">
      <c r="A9" s="42">
        <v>43590</v>
      </c>
      <c r="B9" s="6" t="s">
        <v>15</v>
      </c>
      <c r="C9" s="6" t="s">
        <v>16</v>
      </c>
      <c r="D9" s="16">
        <f t="shared" si="0"/>
        <v>790000</v>
      </c>
      <c r="E9" s="41">
        <v>3</v>
      </c>
      <c r="F9" s="16">
        <f t="shared" si="1"/>
        <v>2370000</v>
      </c>
      <c r="J9" s="9" t="s">
        <v>52</v>
      </c>
      <c r="K9" s="9">
        <v>348000</v>
      </c>
    </row>
    <row r="10" spans="1:11">
      <c r="A10" s="42">
        <v>43591</v>
      </c>
      <c r="B10" s="6" t="s">
        <v>8</v>
      </c>
      <c r="C10" s="6" t="s">
        <v>17</v>
      </c>
      <c r="D10" s="16">
        <f t="shared" si="0"/>
        <v>375000</v>
      </c>
      <c r="E10" s="41">
        <v>2</v>
      </c>
      <c r="F10" s="16">
        <f t="shared" si="1"/>
        <v>750000</v>
      </c>
    </row>
    <row r="11" spans="1:11">
      <c r="A11" s="42">
        <v>43592</v>
      </c>
      <c r="B11" s="6" t="s">
        <v>10</v>
      </c>
      <c r="C11" s="6" t="s">
        <v>9</v>
      </c>
      <c r="D11" s="16">
        <f t="shared" si="0"/>
        <v>590000</v>
      </c>
      <c r="E11" s="41">
        <v>3</v>
      </c>
      <c r="F11" s="16">
        <f t="shared" si="1"/>
        <v>1770000</v>
      </c>
    </row>
    <row r="12" spans="1:11">
      <c r="A12" s="42">
        <v>43593</v>
      </c>
      <c r="B12" s="6" t="s">
        <v>8</v>
      </c>
      <c r="C12" s="6" t="s">
        <v>11</v>
      </c>
      <c r="D12" s="16">
        <f t="shared" si="0"/>
        <v>750000</v>
      </c>
      <c r="E12" s="41">
        <v>2</v>
      </c>
      <c r="F12" s="16">
        <f t="shared" si="1"/>
        <v>1500000</v>
      </c>
    </row>
    <row r="13" spans="1:11">
      <c r="A13" s="42">
        <v>43594</v>
      </c>
      <c r="B13" s="6" t="s">
        <v>13</v>
      </c>
      <c r="C13" s="6" t="s">
        <v>9</v>
      </c>
      <c r="D13" s="16">
        <f t="shared" si="0"/>
        <v>590000</v>
      </c>
      <c r="E13" s="41">
        <v>3</v>
      </c>
      <c r="F13" s="16">
        <f t="shared" si="1"/>
        <v>1770000</v>
      </c>
    </row>
    <row r="14" spans="1:11">
      <c r="A14" s="42">
        <v>43595</v>
      </c>
      <c r="B14" s="6" t="s">
        <v>12</v>
      </c>
      <c r="C14" s="6" t="s">
        <v>11</v>
      </c>
      <c r="D14" s="16">
        <f t="shared" si="0"/>
        <v>750000</v>
      </c>
      <c r="E14" s="41">
        <v>2</v>
      </c>
      <c r="F14" s="16">
        <f t="shared" si="1"/>
        <v>1500000</v>
      </c>
    </row>
    <row r="15" spans="1:11">
      <c r="A15" s="42">
        <v>43596</v>
      </c>
      <c r="B15" s="6" t="s">
        <v>10</v>
      </c>
      <c r="C15" s="6" t="s">
        <v>14</v>
      </c>
      <c r="D15" s="16">
        <f t="shared" si="0"/>
        <v>460000</v>
      </c>
      <c r="E15" s="41">
        <v>1</v>
      </c>
      <c r="F15" s="16">
        <f t="shared" si="1"/>
        <v>460000</v>
      </c>
    </row>
    <row r="16" spans="1:11">
      <c r="A16" s="42">
        <v>43597</v>
      </c>
      <c r="B16" s="6" t="s">
        <v>13</v>
      </c>
      <c r="C16" s="6" t="s">
        <v>14</v>
      </c>
      <c r="D16" s="16">
        <f t="shared" si="0"/>
        <v>460000</v>
      </c>
      <c r="E16" s="41">
        <v>1</v>
      </c>
      <c r="F16" s="16">
        <f t="shared" si="1"/>
        <v>460000</v>
      </c>
    </row>
    <row r="17" spans="1:6">
      <c r="A17" s="42">
        <v>43598</v>
      </c>
      <c r="B17" s="6" t="s">
        <v>15</v>
      </c>
      <c r="C17" s="6" t="s">
        <v>11</v>
      </c>
      <c r="D17" s="16">
        <f t="shared" si="0"/>
        <v>750000</v>
      </c>
      <c r="E17" s="41">
        <v>1</v>
      </c>
      <c r="F17" s="16">
        <f t="shared" si="1"/>
        <v>750000</v>
      </c>
    </row>
    <row r="18" spans="1:6">
      <c r="A18" s="42">
        <v>43599</v>
      </c>
      <c r="B18" s="6" t="s">
        <v>15</v>
      </c>
      <c r="C18" s="6" t="s">
        <v>9</v>
      </c>
      <c r="D18" s="16">
        <f t="shared" si="0"/>
        <v>590000</v>
      </c>
      <c r="E18" s="41">
        <v>2</v>
      </c>
      <c r="F18" s="16">
        <f t="shared" si="1"/>
        <v>1180000</v>
      </c>
    </row>
    <row r="19" spans="1:6">
      <c r="A19" s="42">
        <v>43600</v>
      </c>
      <c r="B19" s="6" t="s">
        <v>8</v>
      </c>
      <c r="C19" s="6" t="s">
        <v>17</v>
      </c>
      <c r="D19" s="16">
        <f t="shared" si="0"/>
        <v>375000</v>
      </c>
      <c r="E19" s="41">
        <v>2</v>
      </c>
      <c r="F19" s="16">
        <f t="shared" si="1"/>
        <v>750000</v>
      </c>
    </row>
    <row r="20" spans="1:6">
      <c r="A20" s="42">
        <v>43601</v>
      </c>
      <c r="B20" s="6" t="s">
        <v>10</v>
      </c>
      <c r="C20" s="6" t="s">
        <v>16</v>
      </c>
      <c r="D20" s="16">
        <f t="shared" si="0"/>
        <v>790000</v>
      </c>
      <c r="E20" s="41">
        <v>1</v>
      </c>
      <c r="F20" s="16">
        <f t="shared" si="1"/>
        <v>790000</v>
      </c>
    </row>
    <row r="21" spans="1:6" ht="15.75" customHeight="1">
      <c r="A21" s="42">
        <v>43602</v>
      </c>
      <c r="B21" s="6" t="s">
        <v>12</v>
      </c>
      <c r="C21" s="6" t="s">
        <v>16</v>
      </c>
      <c r="D21" s="16">
        <f t="shared" si="0"/>
        <v>790000</v>
      </c>
      <c r="E21" s="41">
        <v>1</v>
      </c>
      <c r="F21" s="16">
        <f t="shared" si="1"/>
        <v>790000</v>
      </c>
    </row>
    <row r="22" spans="1:6" ht="15.75" customHeight="1">
      <c r="A22" s="42">
        <v>43603</v>
      </c>
      <c r="B22" s="6" t="s">
        <v>18</v>
      </c>
      <c r="C22" s="6" t="s">
        <v>9</v>
      </c>
      <c r="D22" s="16">
        <f t="shared" si="0"/>
        <v>590000</v>
      </c>
      <c r="E22" s="41">
        <v>2</v>
      </c>
      <c r="F22" s="16">
        <f t="shared" si="1"/>
        <v>1180000</v>
      </c>
    </row>
    <row r="23" spans="1:6" ht="15.75" customHeight="1">
      <c r="A23" s="42">
        <v>43604</v>
      </c>
      <c r="B23" s="6" t="s">
        <v>10</v>
      </c>
      <c r="C23" s="6" t="s">
        <v>17</v>
      </c>
      <c r="D23" s="16">
        <f t="shared" si="0"/>
        <v>375000</v>
      </c>
      <c r="E23" s="41">
        <v>2</v>
      </c>
      <c r="F23" s="16">
        <f t="shared" si="1"/>
        <v>750000</v>
      </c>
    </row>
    <row r="24" spans="1:6" ht="15.75" customHeight="1">
      <c r="A24" s="42">
        <v>43605</v>
      </c>
      <c r="B24" s="6" t="s">
        <v>18</v>
      </c>
      <c r="C24" s="6" t="s">
        <v>9</v>
      </c>
      <c r="D24" s="16">
        <f t="shared" si="0"/>
        <v>590000</v>
      </c>
      <c r="E24" s="41">
        <v>1</v>
      </c>
      <c r="F24" s="16">
        <f t="shared" si="1"/>
        <v>590000</v>
      </c>
    </row>
    <row r="25" spans="1:6" ht="15.75" customHeight="1">
      <c r="A25" s="42">
        <v>43606</v>
      </c>
      <c r="B25" s="6" t="s">
        <v>15</v>
      </c>
      <c r="C25" s="6" t="s">
        <v>11</v>
      </c>
      <c r="D25" s="16">
        <f t="shared" si="0"/>
        <v>750000</v>
      </c>
      <c r="E25" s="41">
        <v>1</v>
      </c>
      <c r="F25" s="16">
        <f t="shared" si="1"/>
        <v>750000</v>
      </c>
    </row>
    <row r="26" spans="1:6" ht="15.75" customHeight="1">
      <c r="A26" s="42">
        <v>43607</v>
      </c>
      <c r="B26" s="6" t="s">
        <v>12</v>
      </c>
      <c r="C26" s="6" t="s">
        <v>14</v>
      </c>
      <c r="D26" s="16">
        <f t="shared" si="0"/>
        <v>460000</v>
      </c>
      <c r="E26" s="41">
        <v>1</v>
      </c>
      <c r="F26" s="16">
        <f t="shared" si="1"/>
        <v>460000</v>
      </c>
    </row>
    <row r="27" spans="1:6" ht="15.75" customHeight="1">
      <c r="A27" s="42">
        <v>43608</v>
      </c>
      <c r="B27" s="6" t="s">
        <v>12</v>
      </c>
      <c r="C27" s="6" t="s">
        <v>14</v>
      </c>
      <c r="D27" s="16">
        <f t="shared" si="0"/>
        <v>460000</v>
      </c>
      <c r="E27" s="41">
        <v>3</v>
      </c>
      <c r="F27" s="16">
        <f t="shared" si="1"/>
        <v>1380000</v>
      </c>
    </row>
    <row r="28" spans="1:6" ht="15.75" customHeight="1">
      <c r="A28" s="42">
        <v>43609</v>
      </c>
      <c r="B28" s="6" t="s">
        <v>15</v>
      </c>
      <c r="C28" s="6" t="s">
        <v>17</v>
      </c>
      <c r="D28" s="16">
        <f t="shared" si="0"/>
        <v>375000</v>
      </c>
      <c r="E28" s="41">
        <v>1</v>
      </c>
      <c r="F28" s="16">
        <f t="shared" si="1"/>
        <v>375000</v>
      </c>
    </row>
    <row r="29" spans="1:6" ht="15.75" customHeight="1">
      <c r="A29" s="42">
        <v>43610</v>
      </c>
      <c r="B29" s="6" t="s">
        <v>8</v>
      </c>
      <c r="C29" s="6" t="s">
        <v>16</v>
      </c>
      <c r="D29" s="16">
        <f t="shared" si="0"/>
        <v>790000</v>
      </c>
      <c r="E29" s="41">
        <v>2</v>
      </c>
      <c r="F29" s="16">
        <f t="shared" si="1"/>
        <v>1580000</v>
      </c>
    </row>
    <row r="30" spans="1:6" ht="15.75" customHeight="1">
      <c r="A30" s="42">
        <v>43611</v>
      </c>
      <c r="B30" s="6" t="s">
        <v>13</v>
      </c>
      <c r="C30" s="6" t="s">
        <v>9</v>
      </c>
      <c r="D30" s="16">
        <f t="shared" si="0"/>
        <v>590000</v>
      </c>
      <c r="E30" s="41">
        <v>1</v>
      </c>
      <c r="F30" s="16">
        <f t="shared" si="1"/>
        <v>590000</v>
      </c>
    </row>
    <row r="31" spans="1:6" ht="15.75" customHeight="1">
      <c r="A31" s="42">
        <v>43612</v>
      </c>
      <c r="B31" s="6" t="s">
        <v>10</v>
      </c>
      <c r="C31" s="6" t="s">
        <v>17</v>
      </c>
      <c r="D31" s="16">
        <f t="shared" si="0"/>
        <v>375000</v>
      </c>
      <c r="E31" s="41">
        <v>2</v>
      </c>
      <c r="F31" s="16">
        <f t="shared" si="1"/>
        <v>750000</v>
      </c>
    </row>
    <row r="32" spans="1:6" ht="15.75" customHeight="1">
      <c r="A32" s="42">
        <v>43613</v>
      </c>
      <c r="B32" s="6" t="s">
        <v>8</v>
      </c>
      <c r="C32" s="6" t="s">
        <v>9</v>
      </c>
      <c r="D32" s="16">
        <f t="shared" si="0"/>
        <v>590000</v>
      </c>
      <c r="E32" s="41">
        <v>3</v>
      </c>
      <c r="F32" s="16">
        <f t="shared" si="1"/>
        <v>1770000</v>
      </c>
    </row>
    <row r="33" spans="1:6" ht="15.75" customHeight="1">
      <c r="A33" s="42">
        <v>43614</v>
      </c>
      <c r="B33" s="6" t="s">
        <v>10</v>
      </c>
      <c r="C33" s="6" t="s">
        <v>11</v>
      </c>
      <c r="D33" s="16">
        <f t="shared" si="0"/>
        <v>750000</v>
      </c>
      <c r="E33" s="41">
        <v>1</v>
      </c>
      <c r="F33" s="16">
        <f t="shared" si="1"/>
        <v>750000</v>
      </c>
    </row>
    <row r="34" spans="1:6" ht="15.75" customHeight="1">
      <c r="A34" s="42">
        <v>43615</v>
      </c>
      <c r="B34" s="6" t="s">
        <v>18</v>
      </c>
      <c r="C34" s="6" t="s">
        <v>14</v>
      </c>
      <c r="D34" s="16">
        <f t="shared" si="0"/>
        <v>460000</v>
      </c>
      <c r="E34" s="41">
        <v>1</v>
      </c>
      <c r="F34" s="16">
        <f t="shared" si="1"/>
        <v>460000</v>
      </c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7027D"/>
  </sheetPr>
  <dimension ref="A1:I1000"/>
  <sheetViews>
    <sheetView tabSelected="1" workbookViewId="0">
      <selection activeCell="F13" sqref="F13"/>
    </sheetView>
  </sheetViews>
  <sheetFormatPr defaultColWidth="14.42578125" defaultRowHeight="15" customHeight="1"/>
  <cols>
    <col min="1" max="1" width="11" customWidth="1"/>
    <col min="2" max="2" width="17" customWidth="1"/>
    <col min="3" max="3" width="12.28515625" customWidth="1"/>
    <col min="4" max="4" width="15.42578125" customWidth="1"/>
    <col min="5" max="5" width="10.28515625" customWidth="1"/>
    <col min="6" max="6" width="13.28515625" customWidth="1"/>
    <col min="7" max="7" width="8.7109375" customWidth="1"/>
    <col min="8" max="8" width="11.7109375" customWidth="1"/>
    <col min="9" max="9" width="13.5703125" customWidth="1"/>
    <col min="10" max="26" width="8.7109375" customWidth="1"/>
  </cols>
  <sheetData>
    <row r="1" spans="1:9" ht="14.45">
      <c r="A1" s="1" t="s">
        <v>53</v>
      </c>
    </row>
    <row r="3" spans="1:9" ht="14.45">
      <c r="H3" s="15" t="s">
        <v>4</v>
      </c>
      <c r="I3" s="15" t="s">
        <v>51</v>
      </c>
    </row>
    <row r="4" spans="1:9" ht="14.45">
      <c r="A4" s="17" t="s">
        <v>4</v>
      </c>
      <c r="B4" s="18" t="s">
        <v>5</v>
      </c>
      <c r="C4" s="18" t="s">
        <v>6</v>
      </c>
      <c r="D4" s="19" t="s">
        <v>7</v>
      </c>
      <c r="H4" s="9" t="s">
        <v>9</v>
      </c>
      <c r="I4" s="9">
        <v>590000</v>
      </c>
    </row>
    <row r="5" spans="1:9">
      <c r="A5" s="20" t="s">
        <v>16</v>
      </c>
      <c r="B5" s="51">
        <f>VLOOKUP(A5,$H$4:$I$9,2,0)</f>
        <v>790000</v>
      </c>
      <c r="C5" s="8">
        <v>2</v>
      </c>
      <c r="D5" s="21">
        <f>B5*C5</f>
        <v>1580000</v>
      </c>
      <c r="H5" s="9" t="s">
        <v>11</v>
      </c>
      <c r="I5" s="9">
        <v>750000</v>
      </c>
    </row>
    <row r="6" spans="1:9">
      <c r="A6" s="20" t="s">
        <v>11</v>
      </c>
      <c r="B6" s="51">
        <f t="shared" ref="B6:B15" si="0">VLOOKUP(A6,$H$4:$I$9,2,0)</f>
        <v>750000</v>
      </c>
      <c r="C6" s="8">
        <v>3</v>
      </c>
      <c r="D6" s="21">
        <f t="shared" ref="D6:D15" si="1">B6*C6</f>
        <v>2250000</v>
      </c>
      <c r="H6" s="9" t="s">
        <v>14</v>
      </c>
      <c r="I6" s="9">
        <v>460000</v>
      </c>
    </row>
    <row r="7" spans="1:9">
      <c r="A7" s="20" t="s">
        <v>16</v>
      </c>
      <c r="B7" s="51">
        <f t="shared" si="0"/>
        <v>790000</v>
      </c>
      <c r="C7" s="8">
        <v>1</v>
      </c>
      <c r="D7" s="21">
        <f t="shared" si="1"/>
        <v>790000</v>
      </c>
      <c r="H7" s="9" t="s">
        <v>16</v>
      </c>
      <c r="I7" s="9">
        <v>790000</v>
      </c>
    </row>
    <row r="8" spans="1:9">
      <c r="A8" s="20" t="s">
        <v>52</v>
      </c>
      <c r="B8" s="51">
        <f t="shared" si="0"/>
        <v>348000</v>
      </c>
      <c r="C8" s="8">
        <v>2</v>
      </c>
      <c r="D8" s="21">
        <f t="shared" si="1"/>
        <v>696000</v>
      </c>
      <c r="H8" s="9" t="s">
        <v>17</v>
      </c>
      <c r="I8" s="9">
        <v>375000</v>
      </c>
    </row>
    <row r="9" spans="1:9">
      <c r="A9" s="20" t="s">
        <v>11</v>
      </c>
      <c r="B9" s="51">
        <f t="shared" si="0"/>
        <v>750000</v>
      </c>
      <c r="C9" s="8">
        <v>1</v>
      </c>
      <c r="D9" s="21">
        <f t="shared" si="1"/>
        <v>750000</v>
      </c>
      <c r="H9" s="9" t="s">
        <v>52</v>
      </c>
      <c r="I9" s="9">
        <v>348000</v>
      </c>
    </row>
    <row r="10" spans="1:9">
      <c r="A10" s="20" t="s">
        <v>52</v>
      </c>
      <c r="B10" s="51">
        <f t="shared" si="0"/>
        <v>348000</v>
      </c>
      <c r="C10" s="8">
        <v>1</v>
      </c>
      <c r="D10" s="21">
        <f t="shared" si="1"/>
        <v>348000</v>
      </c>
    </row>
    <row r="11" spans="1:9">
      <c r="A11" s="20" t="s">
        <v>16</v>
      </c>
      <c r="B11" s="51">
        <f t="shared" si="0"/>
        <v>790000</v>
      </c>
      <c r="C11" s="8">
        <v>2</v>
      </c>
      <c r="D11" s="21">
        <f t="shared" si="1"/>
        <v>1580000</v>
      </c>
    </row>
    <row r="12" spans="1:9">
      <c r="A12" s="20" t="s">
        <v>14</v>
      </c>
      <c r="B12" s="51">
        <f t="shared" si="0"/>
        <v>460000</v>
      </c>
      <c r="C12" s="8">
        <v>3</v>
      </c>
      <c r="D12" s="21">
        <f t="shared" si="1"/>
        <v>1380000</v>
      </c>
    </row>
    <row r="13" spans="1:9">
      <c r="A13" s="20" t="s">
        <v>17</v>
      </c>
      <c r="B13" s="51">
        <f t="shared" si="0"/>
        <v>375000</v>
      </c>
      <c r="C13" s="8">
        <v>1</v>
      </c>
      <c r="D13" s="21">
        <f t="shared" si="1"/>
        <v>375000</v>
      </c>
    </row>
    <row r="14" spans="1:9">
      <c r="A14" s="20" t="s">
        <v>16</v>
      </c>
      <c r="B14" s="51">
        <f t="shared" si="0"/>
        <v>790000</v>
      </c>
      <c r="C14" s="8">
        <v>2</v>
      </c>
      <c r="D14" s="21">
        <f t="shared" si="1"/>
        <v>1580000</v>
      </c>
    </row>
    <row r="15" spans="1:9">
      <c r="A15" s="20" t="s">
        <v>11</v>
      </c>
      <c r="B15" s="51">
        <f t="shared" si="0"/>
        <v>750000</v>
      </c>
      <c r="C15" s="8">
        <v>1</v>
      </c>
      <c r="D15" s="21">
        <f t="shared" si="1"/>
        <v>750000</v>
      </c>
    </row>
    <row r="16" spans="1:9">
      <c r="A16" s="40" t="s">
        <v>54</v>
      </c>
      <c r="B16" s="54"/>
      <c r="C16" s="22">
        <f>SUM(C5:C15)</f>
        <v>19</v>
      </c>
      <c r="D16" s="23">
        <f>SUM(D5:D15)</f>
        <v>12079000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6:B16"/>
  </mergeCells>
  <dataValidations count="1">
    <dataValidation type="list" allowBlank="1" showInputMessage="1" showErrorMessage="1" sqref="A5:A15" xr:uid="{09A6DB38-9B50-45C9-ACAA-271DF1877BCD}">
      <formula1>$H$4:$H$9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2024-07-26T20:53:48Z</dcterms:created>
  <dcterms:modified xsi:type="dcterms:W3CDTF">2026-09-15T11:05:12Z</dcterms:modified>
  <cp:category/>
  <cp:contentStatus/>
</cp:coreProperties>
</file>